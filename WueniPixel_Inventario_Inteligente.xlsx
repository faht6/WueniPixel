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64748B"/>
        <bgColor rgb="0064748B"/>
      </patternFill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t="inlineStr">
        <is>
          <t>Valor</t>
        </is>
      </c>
    </row>
    <row r="2">
      <c r="A2" s="1" t="inlineStr">
        <is>
          <t>TC_Actual</t>
        </is>
      </c>
      <c r="B2" t="n">
        <v>3.35</v>
      </c>
    </row>
    <row r="3">
      <c r="A3" s="1" t="inlineStr">
        <is>
          <t>Ganancia_USD</t>
        </is>
      </c>
      <c r="B3" t="n">
        <v>90</v>
      </c>
    </row>
    <row r="4">
      <c r="A4" s="1" t="inlineStr">
        <is>
          <t>Transporte_USD</t>
        </is>
      </c>
      <c r="B4" t="n">
        <v>80</v>
      </c>
    </row>
    <row r="5">
      <c r="A5" s="1" t="inlineStr">
        <is>
          <t>Impuesto_Importacion</t>
        </is>
      </c>
      <c r="B5" s="2" t="n">
        <v>0.07000000000000001</v>
      </c>
    </row>
    <row r="6">
      <c r="A6" s="1" t="inlineStr">
        <is>
          <t>Comision_Tarjeta</t>
        </is>
      </c>
      <c r="B6" s="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brand</t>
        </is>
      </c>
      <c r="D1" s="3" t="inlineStr">
        <is>
          <t>price</t>
        </is>
      </c>
      <c r="E1" s="3" t="inlineStr">
        <is>
          <t>condition</t>
        </is>
      </c>
      <c r="F1" s="3" t="inlineStr">
        <is>
          <t>grade</t>
        </is>
      </c>
      <c r="G1" s="3" t="inlineStr">
        <is>
          <t>featured</t>
        </is>
      </c>
      <c r="H1" s="4" t="inlineStr">
        <is>
          <t>Costo_Fabrica_64GB_USD</t>
        </is>
      </c>
      <c r="I1" s="4" t="inlineStr">
        <is>
          <t>Costo_Fabrica_128GB_USD</t>
        </is>
      </c>
      <c r="J1" s="4" t="inlineStr">
        <is>
          <t>Costo_Fabrica_256GB_USD</t>
        </is>
      </c>
      <c r="K1" s="4" t="inlineStr">
        <is>
          <t>Costo_Fabrica_512GB_USD</t>
        </is>
      </c>
      <c r="L1" s="4" t="inlineStr">
        <is>
          <t>Costo_Fabrica_1TB_USD</t>
        </is>
      </c>
      <c r="M1" s="4" t="inlineStr">
        <is>
          <t>Costo_Fabrica_2TB_USD</t>
        </is>
      </c>
      <c r="N1" s="5" t="inlineStr">
        <is>
          <t>Precio_Venta_64GB_PEN</t>
        </is>
      </c>
      <c r="O1" s="5" t="inlineStr">
        <is>
          <t>Precio_Venta_128GB_PEN</t>
        </is>
      </c>
      <c r="P1" s="5" t="inlineStr">
        <is>
          <t>Precio_Venta_256GB_PEN</t>
        </is>
      </c>
      <c r="Q1" s="5" t="inlineStr">
        <is>
          <t>Precio_Venta_512GB_PEN</t>
        </is>
      </c>
      <c r="R1" s="5" t="inlineStr">
        <is>
          <t>Precio_Venta_1TB_PEN</t>
        </is>
      </c>
      <c r="S1" s="5" t="inlineStr">
        <is>
          <t>Precio_Venta_2TB_PEN</t>
        </is>
      </c>
    </row>
    <row r="2">
      <c r="A2" t="inlineStr">
        <is>
          <t>107</t>
        </is>
      </c>
      <c r="B2" t="inlineStr">
        <is>
          <t>iPhone 17</t>
        </is>
      </c>
      <c r="C2" t="inlineStr">
        <is>
          <t>Apple</t>
        </is>
      </c>
      <c r="D2" t="inlineStr">
        <is>
          <t>4999</t>
        </is>
      </c>
      <c r="E2" t="inlineStr">
        <is>
          <t>new</t>
        </is>
      </c>
      <c r="F2" t="inlineStr">
        <is>
          <t>Nuevo Sellado</t>
        </is>
      </c>
      <c r="G2" t="inlineStr">
        <is>
          <t>TRUE</t>
        </is>
      </c>
      <c r="H2" t="inlineStr"/>
      <c r="I2" t="inlineStr"/>
      <c r="J2" t="n">
        <v>821.47</v>
      </c>
      <c r="K2" t="n">
        <v>1016.03</v>
      </c>
      <c r="L2" t="inlineStr"/>
      <c r="M2" t="inlineStr"/>
      <c r="N2">
        <f>IF(H2="", "", ROUND((H2+Configuracion!$B$3+Configuracion!$B$4)*(1+Configuracion!$B$5+Configuracion!$B$6)*Configuracion!$B$2, -1))</f>
        <v/>
      </c>
      <c r="O2">
        <f>IF(I2="", "", ROUND((I2+Configuracion!$B$3+Configuracion!$B$4)*(1+Configuracion!$B$5+Configuracion!$B$6)*Configuracion!$B$2, -1))</f>
        <v/>
      </c>
      <c r="P2">
        <f>IF(J2="", "", ROUND((J2+Configuracion!$B$3+Configuracion!$B$4)*(1+Configuracion!$B$5+Configuracion!$B$6)*Configuracion!$B$2, -1))</f>
        <v/>
      </c>
      <c r="Q2">
        <f>IF(K2="", "", ROUND((K2+Configuracion!$B$3+Configuracion!$B$4)*(1+Configuracion!$B$5+Configuracion!$B$6)*Configuracion!$B$2, -1))</f>
        <v/>
      </c>
      <c r="R2">
        <f>IF(L2="", "", ROUND((L2+Configuracion!$B$3+Configuracion!$B$4)*(1+Configuracion!$B$5+Configuracion!$B$6)*Configuracion!$B$2, -1))</f>
        <v/>
      </c>
      <c r="S2">
        <f>IF(M2="", "", ROUND((M2+Configuracion!$B$3+Configuracion!$B$4)*(1+Configuracion!$B$5+Configuracion!$B$6)*Configuracion!$B$2, -1))</f>
        <v/>
      </c>
    </row>
    <row r="3">
      <c r="A3" t="inlineStr">
        <is>
          <t>108</t>
        </is>
      </c>
      <c r="B3" t="inlineStr">
        <is>
          <t>iPhone Air</t>
        </is>
      </c>
      <c r="C3" t="inlineStr">
        <is>
          <t>Apple</t>
        </is>
      </c>
      <c r="D3" t="inlineStr">
        <is>
          <t>5499</t>
        </is>
      </c>
      <c r="E3" t="inlineStr">
        <is>
          <t>new</t>
        </is>
      </c>
      <c r="F3" t="inlineStr">
        <is>
          <t>Nuevo Sellado</t>
        </is>
      </c>
      <c r="G3" t="inlineStr">
        <is>
          <t>TRUE</t>
        </is>
      </c>
      <c r="H3" t="inlineStr"/>
      <c r="I3" t="inlineStr"/>
      <c r="J3" t="n">
        <v>981.39</v>
      </c>
      <c r="K3" t="n">
        <v>1181.28</v>
      </c>
      <c r="L3" t="n">
        <v>1381.17</v>
      </c>
      <c r="M3" t="inlineStr"/>
      <c r="N3">
        <f>IF(H3="", "", ROUND((H3+Configuracion!$B$3+Configuracion!$B$4)*(1+Configuracion!$B$5+Configuracion!$B$6)*Configuracion!$B$2, -1))</f>
        <v/>
      </c>
      <c r="O3">
        <f>IF(I3="", "", ROUND((I3+Configuracion!$B$3+Configuracion!$B$4)*(1+Configuracion!$B$5+Configuracion!$B$6)*Configuracion!$B$2, -1))</f>
        <v/>
      </c>
      <c r="P3">
        <f>IF(J3="", "", ROUND((J3+Configuracion!$B$3+Configuracion!$B$4)*(1+Configuracion!$B$5+Configuracion!$B$6)*Configuracion!$B$2, -1))</f>
        <v/>
      </c>
      <c r="Q3">
        <f>IF(K3="", "", ROUND((K3+Configuracion!$B$3+Configuracion!$B$4)*(1+Configuracion!$B$5+Configuracion!$B$6)*Configuracion!$B$2, -1))</f>
        <v/>
      </c>
      <c r="R3">
        <f>IF(L3="", "", ROUND((L3+Configuracion!$B$3+Configuracion!$B$4)*(1+Configuracion!$B$5+Configuracion!$B$6)*Configuracion!$B$2, -1))</f>
        <v/>
      </c>
      <c r="S3">
        <f>IF(M3="", "", ROUND((M3+Configuracion!$B$3+Configuracion!$B$4)*(1+Configuracion!$B$5+Configuracion!$B$6)*Configuracion!$B$2, -1))</f>
        <v/>
      </c>
    </row>
    <row r="4">
      <c r="A4" t="inlineStr">
        <is>
          <t>109</t>
        </is>
      </c>
      <c r="B4" t="inlineStr">
        <is>
          <t>iPhone 17 Pro</t>
        </is>
      </c>
      <c r="C4" t="inlineStr">
        <is>
          <t>Apple</t>
        </is>
      </c>
      <c r="D4" t="inlineStr">
        <is>
          <t>5999</t>
        </is>
      </c>
      <c r="E4" t="inlineStr">
        <is>
          <t>new</t>
        </is>
      </c>
      <c r="F4" t="inlineStr">
        <is>
          <t>Nuevo Sellado</t>
        </is>
      </c>
      <c r="G4" t="inlineStr">
        <is>
          <t>TRUE</t>
        </is>
      </c>
      <c r="H4" t="inlineStr"/>
      <c r="I4" t="inlineStr"/>
      <c r="J4" t="n">
        <v>1074.67</v>
      </c>
      <c r="K4" t="n">
        <v>1282.56</v>
      </c>
      <c r="L4" t="n">
        <v>1482.45</v>
      </c>
      <c r="M4" t="inlineStr"/>
      <c r="N4">
        <f>IF(H4="", "", ROUND((H4+Configuracion!$B$3+Configuracion!$B$4)*(1+Configuracion!$B$5+Configuracion!$B$6)*Configuracion!$B$2, -1))</f>
        <v/>
      </c>
      <c r="O4">
        <f>IF(I4="", "", ROUND((I4+Configuracion!$B$3+Configuracion!$B$4)*(1+Configuracion!$B$5+Configuracion!$B$6)*Configuracion!$B$2, -1))</f>
        <v/>
      </c>
      <c r="P4">
        <f>IF(J4="", "", ROUND((J4+Configuracion!$B$3+Configuracion!$B$4)*(1+Configuracion!$B$5+Configuracion!$B$6)*Configuracion!$B$2, -1))</f>
        <v/>
      </c>
      <c r="Q4">
        <f>IF(K4="", "", ROUND((K4+Configuracion!$B$3+Configuracion!$B$4)*(1+Configuracion!$B$5+Configuracion!$B$6)*Configuracion!$B$2, -1))</f>
        <v/>
      </c>
      <c r="R4">
        <f>IF(L4="", "", ROUND((L4+Configuracion!$B$3+Configuracion!$B$4)*(1+Configuracion!$B$5+Configuracion!$B$6)*Configuracion!$B$2, -1))</f>
        <v/>
      </c>
      <c r="S4">
        <f>IF(M4="", "", ROUND((M4+Configuracion!$B$3+Configuracion!$B$4)*(1+Configuracion!$B$5+Configuracion!$B$6)*Configuracion!$B$2, -1))</f>
        <v/>
      </c>
    </row>
    <row r="5">
      <c r="A5" t="inlineStr">
        <is>
          <t>110</t>
        </is>
      </c>
      <c r="B5" t="inlineStr">
        <is>
          <t>iPhone 17 Pro Max</t>
        </is>
      </c>
      <c r="C5" t="inlineStr">
        <is>
          <t>Apple</t>
        </is>
      </c>
      <c r="D5" t="inlineStr">
        <is>
          <t>6599</t>
        </is>
      </c>
      <c r="E5" t="inlineStr">
        <is>
          <t>new</t>
        </is>
      </c>
      <c r="F5" t="inlineStr">
        <is>
          <t>Nuevo Sellado</t>
        </is>
      </c>
      <c r="G5" t="inlineStr">
        <is>
          <t>TRUE</t>
        </is>
      </c>
      <c r="H5" t="inlineStr"/>
      <c r="I5" t="inlineStr"/>
      <c r="J5" t="n">
        <v>1181.28</v>
      </c>
      <c r="K5" t="n">
        <v>1381.17</v>
      </c>
      <c r="L5" t="n">
        <v>1581.07</v>
      </c>
      <c r="M5" t="n">
        <v>1980.85</v>
      </c>
      <c r="N5">
        <f>IF(H5="", "", ROUND((H5+Configuracion!$B$3+Configuracion!$B$4)*(1+Configuracion!$B$5+Configuracion!$B$6)*Configuracion!$B$2, -1))</f>
        <v/>
      </c>
      <c r="O5">
        <f>IF(I5="", "", ROUND((I5+Configuracion!$B$3+Configuracion!$B$4)*(1+Configuracion!$B$5+Configuracion!$B$6)*Configuracion!$B$2, -1))</f>
        <v/>
      </c>
      <c r="P5">
        <f>IF(J5="", "", ROUND((J5+Configuracion!$B$3+Configuracion!$B$4)*(1+Configuracion!$B$5+Configuracion!$B$6)*Configuracion!$B$2, -1))</f>
        <v/>
      </c>
      <c r="Q5">
        <f>IF(K5="", "", ROUND((K5+Configuracion!$B$3+Configuracion!$B$4)*(1+Configuracion!$B$5+Configuracion!$B$6)*Configuracion!$B$2, -1))</f>
        <v/>
      </c>
      <c r="R5">
        <f>IF(L5="", "", ROUND((L5+Configuracion!$B$3+Configuracion!$B$4)*(1+Configuracion!$B$5+Configuracion!$B$6)*Configuracion!$B$2, -1))</f>
        <v/>
      </c>
      <c r="S5">
        <f>IF(M5="", "", ROUND((M5+Configuracion!$B$3+Configuracion!$B$4)*(1+Configuracion!$B$5+Configuracion!$B$6)*Configuracion!$B$2, -1))</f>
        <v/>
      </c>
    </row>
    <row r="6">
      <c r="A6" t="inlineStr">
        <is>
          <t>111</t>
        </is>
      </c>
      <c r="B6" t="inlineStr">
        <is>
          <t>iPhone 16</t>
        </is>
      </c>
      <c r="C6" t="inlineStr">
        <is>
          <t>Apple</t>
        </is>
      </c>
      <c r="D6" t="inlineStr">
        <is>
          <t>3999</t>
        </is>
      </c>
      <c r="E6" t="inlineStr">
        <is>
          <t>new</t>
        </is>
      </c>
      <c r="F6" t="inlineStr">
        <is>
          <t>Nuevo Sellado</t>
        </is>
      </c>
      <c r="G6" t="inlineStr">
        <is>
          <t>FALSE</t>
        </is>
      </c>
      <c r="H6" t="inlineStr"/>
      <c r="I6" t="n">
        <v>709.53</v>
      </c>
      <c r="J6" t="n">
        <v>762.84</v>
      </c>
      <c r="K6" t="inlineStr"/>
      <c r="L6" t="inlineStr"/>
      <c r="M6" t="inlineStr"/>
      <c r="N6">
        <f>IF(H6="", "", ROUND((H6+Configuracion!$B$3+Configuracion!$B$4)*(1+Configuracion!$B$5+Configuracion!$B$6)*Configuracion!$B$2, -1))</f>
        <v/>
      </c>
      <c r="O6">
        <f>IF(I6="", "", ROUND((I6+Configuracion!$B$3+Configuracion!$B$4)*(1+Configuracion!$B$5+Configuracion!$B$6)*Configuracion!$B$2, -1))</f>
        <v/>
      </c>
      <c r="P6">
        <f>IF(J6="", "", ROUND((J6+Configuracion!$B$3+Configuracion!$B$4)*(1+Configuracion!$B$5+Configuracion!$B$6)*Configuracion!$B$2, -1))</f>
        <v/>
      </c>
      <c r="Q6">
        <f>IF(K6="", "", ROUND((K6+Configuracion!$B$3+Configuracion!$B$4)*(1+Configuracion!$B$5+Configuracion!$B$6)*Configuracion!$B$2, -1))</f>
        <v/>
      </c>
      <c r="R6">
        <f>IF(L6="", "", ROUND((L6+Configuracion!$B$3+Configuracion!$B$4)*(1+Configuracion!$B$5+Configuracion!$B$6)*Configuracion!$B$2, -1))</f>
        <v/>
      </c>
      <c r="S6">
        <f>IF(M6="", "", ROUND((M6+Configuracion!$B$3+Configuracion!$B$4)*(1+Configuracion!$B$5+Configuracion!$B$6)*Configuracion!$B$2, -1))</f>
        <v/>
      </c>
    </row>
    <row r="7">
      <c r="A7" t="inlineStr">
        <is>
          <t>112</t>
        </is>
      </c>
      <c r="B7" t="inlineStr">
        <is>
          <t>iPhone 16 Pro</t>
        </is>
      </c>
      <c r="C7" t="inlineStr">
        <is>
          <t>Apple</t>
        </is>
      </c>
      <c r="D7" t="inlineStr">
        <is>
          <t>4699</t>
        </is>
      </c>
      <c r="E7" t="inlineStr">
        <is>
          <t>used</t>
        </is>
      </c>
      <c r="F7" t="inlineStr">
        <is>
          <t>Muy bueno</t>
        </is>
      </c>
      <c r="G7" t="inlineStr">
        <is>
          <t>TRUE</t>
        </is>
      </c>
      <c r="H7" t="inlineStr"/>
      <c r="I7" t="inlineStr"/>
      <c r="J7" t="n">
        <v>656.23</v>
      </c>
      <c r="K7" t="inlineStr"/>
      <c r="L7" t="n">
        <v>1508.84</v>
      </c>
      <c r="M7" t="inlineStr"/>
      <c r="N7">
        <f>IF(H7="", "", ROUND((H7+Configuracion!$B$3+Configuracion!$B$4)*(1+Configuracion!$B$5+Configuracion!$B$6)*Configuracion!$B$2, -1))</f>
        <v/>
      </c>
      <c r="O7">
        <f>IF(I7="", "", ROUND((I7+Configuracion!$B$3+Configuracion!$B$4)*(1+Configuracion!$B$5+Configuracion!$B$6)*Configuracion!$B$2, -1))</f>
        <v/>
      </c>
      <c r="P7">
        <f>IF(J7="", "", ROUND((J7+Configuracion!$B$3+Configuracion!$B$4)*(1+Configuracion!$B$5+Configuracion!$B$6)*Configuracion!$B$2, -1))</f>
        <v/>
      </c>
      <c r="Q7">
        <f>IF(K7="", "", ROUND((K7+Configuracion!$B$3+Configuracion!$B$4)*(1+Configuracion!$B$5+Configuracion!$B$6)*Configuracion!$B$2, -1))</f>
        <v/>
      </c>
      <c r="R7">
        <f>IF(L7="", "", ROUND((L7+Configuracion!$B$3+Configuracion!$B$4)*(1+Configuracion!$B$5+Configuracion!$B$6)*Configuracion!$B$2, -1))</f>
        <v/>
      </c>
      <c r="S7">
        <f>IF(M7="", "", ROUND((M7+Configuracion!$B$3+Configuracion!$B$4)*(1+Configuracion!$B$5+Configuracion!$B$6)*Configuracion!$B$2, -1))</f>
        <v/>
      </c>
    </row>
    <row r="8">
      <c r="A8" t="inlineStr">
        <is>
          <t>113</t>
        </is>
      </c>
      <c r="B8" t="inlineStr">
        <is>
          <t>iPhone 16 Pro Max</t>
        </is>
      </c>
      <c r="C8" t="inlineStr">
        <is>
          <t>Apple</t>
        </is>
      </c>
      <c r="D8" t="inlineStr">
        <is>
          <t>5299</t>
        </is>
      </c>
      <c r="E8" t="inlineStr">
        <is>
          <t>used</t>
        </is>
      </c>
      <c r="F8" t="inlineStr">
        <is>
          <t>Excelente</t>
        </is>
      </c>
      <c r="G8" t="inlineStr">
        <is>
          <t>TRUE</t>
        </is>
      </c>
      <c r="H8" t="inlineStr"/>
      <c r="I8" t="inlineStr"/>
      <c r="J8" t="n">
        <v>733.52</v>
      </c>
      <c r="K8" t="n">
        <v>834.8</v>
      </c>
      <c r="L8" t="n">
        <v>1535.49</v>
      </c>
      <c r="M8" t="inlineStr"/>
      <c r="N8">
        <f>IF(H8="", "", ROUND((H8+Configuracion!$B$3+Configuracion!$B$4)*(1+Configuracion!$B$5+Configuracion!$B$6)*Configuracion!$B$2, -1))</f>
        <v/>
      </c>
      <c r="O8">
        <f>IF(I8="", "", ROUND((I8+Configuracion!$B$3+Configuracion!$B$4)*(1+Configuracion!$B$5+Configuracion!$B$6)*Configuracion!$B$2, -1))</f>
        <v/>
      </c>
      <c r="P8">
        <f>IF(J8="", "", ROUND((J8+Configuracion!$B$3+Configuracion!$B$4)*(1+Configuracion!$B$5+Configuracion!$B$6)*Configuracion!$B$2, -1))</f>
        <v/>
      </c>
      <c r="Q8">
        <f>IF(K8="", "", ROUND((K8+Configuracion!$B$3+Configuracion!$B$4)*(1+Configuracion!$B$5+Configuracion!$B$6)*Configuracion!$B$2, -1))</f>
        <v/>
      </c>
      <c r="R8">
        <f>IF(L8="", "", ROUND((L8+Configuracion!$B$3+Configuracion!$B$4)*(1+Configuracion!$B$5+Configuracion!$B$6)*Configuracion!$B$2, -1))</f>
        <v/>
      </c>
      <c r="S8">
        <f>IF(M8="", "", ROUND((M8+Configuracion!$B$3+Configuracion!$B$4)*(1+Configuracion!$B$5+Configuracion!$B$6)*Configuracion!$B$2, -1))</f>
        <v/>
      </c>
    </row>
    <row r="9">
      <c r="A9" t="inlineStr">
        <is>
          <t>106</t>
        </is>
      </c>
      <c r="B9" t="inlineStr">
        <is>
          <t>iPhone 15 Pro Max</t>
        </is>
      </c>
      <c r="C9" t="inlineStr">
        <is>
          <t>Apple</t>
        </is>
      </c>
      <c r="D9" t="inlineStr">
        <is>
          <t>5799</t>
        </is>
      </c>
      <c r="E9" t="inlineStr">
        <is>
          <t>used</t>
        </is>
      </c>
      <c r="F9" t="inlineStr">
        <is>
          <t>Muy bueno</t>
        </is>
      </c>
      <c r="G9" t="inlineStr">
        <is>
          <t>TRUE</t>
        </is>
      </c>
      <c r="H9" t="inlineStr"/>
      <c r="I9" t="n">
        <v>509.64</v>
      </c>
      <c r="J9" t="n">
        <v>549.62</v>
      </c>
      <c r="K9" t="n">
        <v>602.92</v>
      </c>
      <c r="L9" t="inlineStr"/>
      <c r="M9" t="inlineStr"/>
      <c r="N9">
        <f>IF(H9="", "", ROUND((H9+Configuracion!$B$3+Configuracion!$B$4)*(1+Configuracion!$B$5+Configuracion!$B$6)*Configuracion!$B$2, -1))</f>
        <v/>
      </c>
      <c r="O9">
        <f>IF(I9="", "", ROUND((I9+Configuracion!$B$3+Configuracion!$B$4)*(1+Configuracion!$B$5+Configuracion!$B$6)*Configuracion!$B$2, -1))</f>
        <v/>
      </c>
      <c r="P9">
        <f>IF(J9="", "", ROUND((J9+Configuracion!$B$3+Configuracion!$B$4)*(1+Configuracion!$B$5+Configuracion!$B$6)*Configuracion!$B$2, -1))</f>
        <v/>
      </c>
      <c r="Q9">
        <f>IF(K9="", "", ROUND((K9+Configuracion!$B$3+Configuracion!$B$4)*(1+Configuracion!$B$5+Configuracion!$B$6)*Configuracion!$B$2, -1))</f>
        <v/>
      </c>
      <c r="R9">
        <f>IF(L9="", "", ROUND((L9+Configuracion!$B$3+Configuracion!$B$4)*(1+Configuracion!$B$5+Configuracion!$B$6)*Configuracion!$B$2, -1))</f>
        <v/>
      </c>
      <c r="S9">
        <f>IF(M9="", "", ROUND((M9+Configuracion!$B$3+Configuracion!$B$4)*(1+Configuracion!$B$5+Configuracion!$B$6)*Configuracion!$B$2, -1))</f>
        <v/>
      </c>
    </row>
    <row r="10">
      <c r="A10" t="inlineStr">
        <is>
          <t>114</t>
        </is>
      </c>
      <c r="B10" t="inlineStr">
        <is>
          <t>iPhone 15 Pro</t>
        </is>
      </c>
      <c r="C10" t="inlineStr">
        <is>
          <t>Apple</t>
        </is>
      </c>
      <c r="D10" t="inlineStr">
        <is>
          <t>3899</t>
        </is>
      </c>
      <c r="E10" t="inlineStr">
        <is>
          <t>used</t>
        </is>
      </c>
      <c r="F10" t="inlineStr">
        <is>
          <t>Excelente</t>
        </is>
      </c>
      <c r="G10" t="inlineStr">
        <is>
          <t>FALSE</t>
        </is>
      </c>
      <c r="H10" t="inlineStr"/>
      <c r="I10" t="n">
        <v>437.68</v>
      </c>
      <c r="J10" t="n">
        <v>469.66</v>
      </c>
      <c r="K10" t="inlineStr"/>
      <c r="L10" t="inlineStr"/>
      <c r="M10" t="inlineStr"/>
      <c r="N10">
        <f>IF(H10="", "", ROUND((H10+Configuracion!$B$3+Configuracion!$B$4)*(1+Configuracion!$B$5+Configuracion!$B$6)*Configuracion!$B$2, -1))</f>
        <v/>
      </c>
      <c r="O10">
        <f>IF(I10="", "", ROUND((I10+Configuracion!$B$3+Configuracion!$B$4)*(1+Configuracion!$B$5+Configuracion!$B$6)*Configuracion!$B$2, -1))</f>
        <v/>
      </c>
      <c r="P10">
        <f>IF(J10="", "", ROUND((J10+Configuracion!$B$3+Configuracion!$B$4)*(1+Configuracion!$B$5+Configuracion!$B$6)*Configuracion!$B$2, -1))</f>
        <v/>
      </c>
      <c r="Q10">
        <f>IF(K10="", "", ROUND((K10+Configuracion!$B$3+Configuracion!$B$4)*(1+Configuracion!$B$5+Configuracion!$B$6)*Configuracion!$B$2, -1))</f>
        <v/>
      </c>
      <c r="R10">
        <f>IF(L10="", "", ROUND((L10+Configuracion!$B$3+Configuracion!$B$4)*(1+Configuracion!$B$5+Configuracion!$B$6)*Configuracion!$B$2, -1))</f>
        <v/>
      </c>
      <c r="S10">
        <f>IF(M10="", "", ROUND((M10+Configuracion!$B$3+Configuracion!$B$4)*(1+Configuracion!$B$5+Configuracion!$B$6)*Configuracion!$B$2, -1))</f>
        <v/>
      </c>
    </row>
    <row r="11">
      <c r="A11" t="inlineStr">
        <is>
          <t>105</t>
        </is>
      </c>
      <c r="B11" t="inlineStr">
        <is>
          <t>iPhone 15</t>
        </is>
      </c>
      <c r="C11" t="inlineStr">
        <is>
          <t>Apple</t>
        </is>
      </c>
      <c r="D11" t="inlineStr">
        <is>
          <t>3599</t>
        </is>
      </c>
      <c r="E11" t="inlineStr">
        <is>
          <t>used</t>
        </is>
      </c>
      <c r="F11" t="inlineStr">
        <is>
          <t>Bueno</t>
        </is>
      </c>
      <c r="G11" t="inlineStr">
        <is>
          <t>FALSE</t>
        </is>
      </c>
      <c r="H11" t="inlineStr"/>
      <c r="I11" t="n">
        <v>323.07</v>
      </c>
      <c r="J11" t="n">
        <v>363.05</v>
      </c>
      <c r="K11" t="inlineStr"/>
      <c r="L11" t="inlineStr"/>
      <c r="M11" t="inlineStr"/>
      <c r="N11">
        <f>IF(H11="", "", ROUND((H11+Configuracion!$B$3+Configuracion!$B$4)*(1+Configuracion!$B$5+Configuracion!$B$6)*Configuracion!$B$2, -1))</f>
        <v/>
      </c>
      <c r="O11">
        <f>IF(I11="", "", ROUND((I11+Configuracion!$B$3+Configuracion!$B$4)*(1+Configuracion!$B$5+Configuracion!$B$6)*Configuracion!$B$2, -1))</f>
        <v/>
      </c>
      <c r="P11">
        <f>IF(J11="", "", ROUND((J11+Configuracion!$B$3+Configuracion!$B$4)*(1+Configuracion!$B$5+Configuracion!$B$6)*Configuracion!$B$2, -1))</f>
        <v/>
      </c>
      <c r="Q11">
        <f>IF(K11="", "", ROUND((K11+Configuracion!$B$3+Configuracion!$B$4)*(1+Configuracion!$B$5+Configuracion!$B$6)*Configuracion!$B$2, -1))</f>
        <v/>
      </c>
      <c r="R11">
        <f>IF(L11="", "", ROUND((L11+Configuracion!$B$3+Configuracion!$B$4)*(1+Configuracion!$B$5+Configuracion!$B$6)*Configuracion!$B$2, -1))</f>
        <v/>
      </c>
      <c r="S11">
        <f>IF(M11="", "", ROUND((M11+Configuracion!$B$3+Configuracion!$B$4)*(1+Configuracion!$B$5+Configuracion!$B$6)*Configuracion!$B$2, -1))</f>
        <v/>
      </c>
    </row>
    <row r="12">
      <c r="A12" t="inlineStr">
        <is>
          <t>104</t>
        </is>
      </c>
      <c r="B12" t="inlineStr">
        <is>
          <t>iPhone 14 Pro Max</t>
        </is>
      </c>
      <c r="C12" t="inlineStr">
        <is>
          <t>Apple</t>
        </is>
      </c>
      <c r="D12" t="inlineStr">
        <is>
          <t>3899</t>
        </is>
      </c>
      <c r="E12" t="inlineStr">
        <is>
          <t>used</t>
        </is>
      </c>
      <c r="F12" t="inlineStr">
        <is>
          <t>Excelente</t>
        </is>
      </c>
      <c r="G12" t="inlineStr">
        <is>
          <t>FALSE</t>
        </is>
      </c>
      <c r="H12" t="inlineStr"/>
      <c r="I12" t="n">
        <v>429.68</v>
      </c>
      <c r="J12" t="n">
        <v>469.66</v>
      </c>
      <c r="K12" t="inlineStr"/>
      <c r="L12" t="inlineStr"/>
      <c r="M12" t="inlineStr"/>
      <c r="N12">
        <f>IF(H12="", "", ROUND((H12+Configuracion!$B$3+Configuracion!$B$4)*(1+Configuracion!$B$5+Configuracion!$B$6)*Configuracion!$B$2, -1))</f>
        <v/>
      </c>
      <c r="O12">
        <f>IF(I12="", "", ROUND((I12+Configuracion!$B$3+Configuracion!$B$4)*(1+Configuracion!$B$5+Configuracion!$B$6)*Configuracion!$B$2, -1))</f>
        <v/>
      </c>
      <c r="P12">
        <f>IF(J12="", "", ROUND((J12+Configuracion!$B$3+Configuracion!$B$4)*(1+Configuracion!$B$5+Configuracion!$B$6)*Configuracion!$B$2, -1))</f>
        <v/>
      </c>
      <c r="Q12">
        <f>IF(K12="", "", ROUND((K12+Configuracion!$B$3+Configuracion!$B$4)*(1+Configuracion!$B$5+Configuracion!$B$6)*Configuracion!$B$2, -1))</f>
        <v/>
      </c>
      <c r="R12">
        <f>IF(L12="", "", ROUND((L12+Configuracion!$B$3+Configuracion!$B$4)*(1+Configuracion!$B$5+Configuracion!$B$6)*Configuracion!$B$2, -1))</f>
        <v/>
      </c>
      <c r="S12">
        <f>IF(M12="", "", ROUND((M12+Configuracion!$B$3+Configuracion!$B$4)*(1+Configuracion!$B$5+Configuracion!$B$6)*Configuracion!$B$2, -1))</f>
        <v/>
      </c>
    </row>
    <row r="13">
      <c r="A13" t="inlineStr">
        <is>
          <t>116</t>
        </is>
      </c>
      <c r="B13" t="inlineStr">
        <is>
          <t>iPhone 14 Pro</t>
        </is>
      </c>
      <c r="C13" t="inlineStr">
        <is>
          <t>Apple</t>
        </is>
      </c>
      <c r="D13" t="inlineStr">
        <is>
          <t>3099</t>
        </is>
      </c>
      <c r="E13" t="inlineStr">
        <is>
          <t>used</t>
        </is>
      </c>
      <c r="F13" t="inlineStr">
        <is>
          <t>Bueno</t>
        </is>
      </c>
      <c r="G13" t="inlineStr">
        <is>
          <t>FALSE</t>
        </is>
      </c>
      <c r="H13" t="inlineStr"/>
      <c r="I13" t="n">
        <v>363.05</v>
      </c>
      <c r="J13" t="n">
        <v>403.03</v>
      </c>
      <c r="K13" t="inlineStr"/>
      <c r="L13" t="inlineStr"/>
      <c r="M13" t="inlineStr"/>
      <c r="N13">
        <f>IF(H13="", "", ROUND((H13+Configuracion!$B$3+Configuracion!$B$4)*(1+Configuracion!$B$5+Configuracion!$B$6)*Configuracion!$B$2, -1))</f>
        <v/>
      </c>
      <c r="O13">
        <f>IF(I13="", "", ROUND((I13+Configuracion!$B$3+Configuracion!$B$4)*(1+Configuracion!$B$5+Configuracion!$B$6)*Configuracion!$B$2, -1))</f>
        <v/>
      </c>
      <c r="P13">
        <f>IF(J13="", "", ROUND((J13+Configuracion!$B$3+Configuracion!$B$4)*(1+Configuracion!$B$5+Configuracion!$B$6)*Configuracion!$B$2, -1))</f>
        <v/>
      </c>
      <c r="Q13">
        <f>IF(K13="", "", ROUND((K13+Configuracion!$B$3+Configuracion!$B$4)*(1+Configuracion!$B$5+Configuracion!$B$6)*Configuracion!$B$2, -1))</f>
        <v/>
      </c>
      <c r="R13">
        <f>IF(L13="", "", ROUND((L13+Configuracion!$B$3+Configuracion!$B$4)*(1+Configuracion!$B$5+Configuracion!$B$6)*Configuracion!$B$2, -1))</f>
        <v/>
      </c>
      <c r="S13">
        <f>IF(M13="", "", ROUND((M13+Configuracion!$B$3+Configuracion!$B$4)*(1+Configuracion!$B$5+Configuracion!$B$6)*Configuracion!$B$2, -1))</f>
        <v/>
      </c>
    </row>
    <row r="14">
      <c r="A14" t="inlineStr">
        <is>
          <t>115</t>
        </is>
      </c>
      <c r="B14" t="inlineStr">
        <is>
          <t>iPhone 14</t>
        </is>
      </c>
      <c r="C14" t="inlineStr">
        <is>
          <t>Apple</t>
        </is>
      </c>
      <c r="D14" t="inlineStr">
        <is>
          <t>2599</t>
        </is>
      </c>
      <c r="E14" t="inlineStr">
        <is>
          <t>used</t>
        </is>
      </c>
      <c r="F14" t="inlineStr">
        <is>
          <t>Bueno</t>
        </is>
      </c>
      <c r="G14" t="inlineStr">
        <is>
          <t>FALSE</t>
        </is>
      </c>
      <c r="H14" t="inlineStr"/>
      <c r="I14" t="n">
        <v>229.79</v>
      </c>
      <c r="J14" t="n">
        <v>256.44</v>
      </c>
      <c r="K14" t="inlineStr"/>
      <c r="L14" t="inlineStr"/>
      <c r="M14" t="inlineStr"/>
      <c r="N14">
        <f>IF(H14="", "", ROUND((H14+Configuracion!$B$3+Configuracion!$B$4)*(1+Configuracion!$B$5+Configuracion!$B$6)*Configuracion!$B$2, -1))</f>
        <v/>
      </c>
      <c r="O14">
        <f>IF(I14="", "", ROUND((I14+Configuracion!$B$3+Configuracion!$B$4)*(1+Configuracion!$B$5+Configuracion!$B$6)*Configuracion!$B$2, -1))</f>
        <v/>
      </c>
      <c r="P14">
        <f>IF(J14="", "", ROUND((J14+Configuracion!$B$3+Configuracion!$B$4)*(1+Configuracion!$B$5+Configuracion!$B$6)*Configuracion!$B$2, -1))</f>
        <v/>
      </c>
      <c r="Q14">
        <f>IF(K14="", "", ROUND((K14+Configuracion!$B$3+Configuracion!$B$4)*(1+Configuracion!$B$5+Configuracion!$B$6)*Configuracion!$B$2, -1))</f>
        <v/>
      </c>
      <c r="R14">
        <f>IF(L14="", "", ROUND((L14+Configuracion!$B$3+Configuracion!$B$4)*(1+Configuracion!$B$5+Configuracion!$B$6)*Configuracion!$B$2, -1))</f>
        <v/>
      </c>
      <c r="S14">
        <f>IF(M14="", "", ROUND((M14+Configuracion!$B$3+Configuracion!$B$4)*(1+Configuracion!$B$5+Configuracion!$B$6)*Configuracion!$B$2, -1))</f>
        <v/>
      </c>
    </row>
    <row r="15">
      <c r="A15" t="inlineStr">
        <is>
          <t>122</t>
        </is>
      </c>
      <c r="B15" t="inlineStr">
        <is>
          <t>iPhone 13 Pro Max</t>
        </is>
      </c>
      <c r="C15" t="inlineStr">
        <is>
          <t>Apple</t>
        </is>
      </c>
      <c r="D15" t="inlineStr">
        <is>
          <t>2699</t>
        </is>
      </c>
      <c r="E15" t="inlineStr">
        <is>
          <t>used</t>
        </is>
      </c>
      <c r="F15" t="inlineStr">
        <is>
          <t>Bueno</t>
        </is>
      </c>
      <c r="G15" t="inlineStr">
        <is>
          <t>FALSE</t>
        </is>
      </c>
      <c r="H15" t="inlineStr"/>
      <c r="I15" t="n">
        <v>363.05</v>
      </c>
      <c r="J15" t="n">
        <v>389.7</v>
      </c>
      <c r="K15" t="inlineStr"/>
      <c r="L15" t="inlineStr"/>
      <c r="M15" t="inlineStr"/>
      <c r="N15">
        <f>IF(H15="", "", ROUND((H15+Configuracion!$B$3+Configuracion!$B$4)*(1+Configuracion!$B$5+Configuracion!$B$6)*Configuracion!$B$2, -1))</f>
        <v/>
      </c>
      <c r="O15">
        <f>IF(I15="", "", ROUND((I15+Configuracion!$B$3+Configuracion!$B$4)*(1+Configuracion!$B$5+Configuracion!$B$6)*Configuracion!$B$2, -1))</f>
        <v/>
      </c>
      <c r="P15">
        <f>IF(J15="", "", ROUND((J15+Configuracion!$B$3+Configuracion!$B$4)*(1+Configuracion!$B$5+Configuracion!$B$6)*Configuracion!$B$2, -1))</f>
        <v/>
      </c>
      <c r="Q15">
        <f>IF(K15="", "", ROUND((K15+Configuracion!$B$3+Configuracion!$B$4)*(1+Configuracion!$B$5+Configuracion!$B$6)*Configuracion!$B$2, -1))</f>
        <v/>
      </c>
      <c r="R15">
        <f>IF(L15="", "", ROUND((L15+Configuracion!$B$3+Configuracion!$B$4)*(1+Configuracion!$B$5+Configuracion!$B$6)*Configuracion!$B$2, -1))</f>
        <v/>
      </c>
      <c r="S15">
        <f>IF(M15="", "", ROUND((M15+Configuracion!$B$3+Configuracion!$B$4)*(1+Configuracion!$B$5+Configuracion!$B$6)*Configuracion!$B$2, -1))</f>
        <v/>
      </c>
    </row>
    <row r="16">
      <c r="A16" t="inlineStr">
        <is>
          <t>121</t>
        </is>
      </c>
      <c r="B16" t="inlineStr">
        <is>
          <t>iPhone 13 Pro</t>
        </is>
      </c>
      <c r="C16" t="inlineStr">
        <is>
          <t>Apple</t>
        </is>
      </c>
      <c r="D16" t="inlineStr">
        <is>
          <t>2299</t>
        </is>
      </c>
      <c r="E16" t="inlineStr">
        <is>
          <t>used</t>
        </is>
      </c>
      <c r="F16" t="inlineStr">
        <is>
          <t>Bueno</t>
        </is>
      </c>
      <c r="G16" t="inlineStr">
        <is>
          <t>FALSE</t>
        </is>
      </c>
      <c r="H16" t="inlineStr"/>
      <c r="I16" t="n">
        <v>283.09</v>
      </c>
      <c r="J16" t="n">
        <v>323.07</v>
      </c>
      <c r="K16" t="inlineStr"/>
      <c r="L16" t="inlineStr"/>
      <c r="M16" t="inlineStr"/>
      <c r="N16">
        <f>IF(H16="", "", ROUND((H16+Configuracion!$B$3+Configuracion!$B$4)*(1+Configuracion!$B$5+Configuracion!$B$6)*Configuracion!$B$2, -1))</f>
        <v/>
      </c>
      <c r="O16">
        <f>IF(I16="", "", ROUND((I16+Configuracion!$B$3+Configuracion!$B$4)*(1+Configuracion!$B$5+Configuracion!$B$6)*Configuracion!$B$2, -1))</f>
        <v/>
      </c>
      <c r="P16">
        <f>IF(J16="", "", ROUND((J16+Configuracion!$B$3+Configuracion!$B$4)*(1+Configuracion!$B$5+Configuracion!$B$6)*Configuracion!$B$2, -1))</f>
        <v/>
      </c>
      <c r="Q16">
        <f>IF(K16="", "", ROUND((K16+Configuracion!$B$3+Configuracion!$B$4)*(1+Configuracion!$B$5+Configuracion!$B$6)*Configuracion!$B$2, -1))</f>
        <v/>
      </c>
      <c r="R16">
        <f>IF(L16="", "", ROUND((L16+Configuracion!$B$3+Configuracion!$B$4)*(1+Configuracion!$B$5+Configuracion!$B$6)*Configuracion!$B$2, -1))</f>
        <v/>
      </c>
      <c r="S16">
        <f>IF(M16="", "", ROUND((M16+Configuracion!$B$3+Configuracion!$B$4)*(1+Configuracion!$B$5+Configuracion!$B$6)*Configuracion!$B$2, -1))</f>
        <v/>
      </c>
    </row>
    <row r="17">
      <c r="A17" t="inlineStr">
        <is>
          <t>120</t>
        </is>
      </c>
      <c r="B17" t="inlineStr">
        <is>
          <t>iPhone 13</t>
        </is>
      </c>
      <c r="C17" t="inlineStr">
        <is>
          <t>Apple</t>
        </is>
      </c>
      <c r="D17" t="inlineStr">
        <is>
          <t>1899</t>
        </is>
      </c>
      <c r="E17" t="inlineStr">
        <is>
          <t>used</t>
        </is>
      </c>
      <c r="F17" t="inlineStr">
        <is>
          <t>Excelente</t>
        </is>
      </c>
      <c r="G17" t="inlineStr">
        <is>
          <t>FALSE</t>
        </is>
      </c>
      <c r="H17" t="inlineStr"/>
      <c r="I17" t="n">
        <v>203.13</v>
      </c>
      <c r="J17" t="n">
        <v>229.79</v>
      </c>
      <c r="K17" t="inlineStr"/>
      <c r="L17" t="inlineStr"/>
      <c r="M17" t="inlineStr"/>
      <c r="N17">
        <f>IF(H17="", "", ROUND((H17+Configuracion!$B$3+Configuracion!$B$4)*(1+Configuracion!$B$5+Configuracion!$B$6)*Configuracion!$B$2, -1))</f>
        <v/>
      </c>
      <c r="O17">
        <f>IF(I17="", "", ROUND((I17+Configuracion!$B$3+Configuracion!$B$4)*(1+Configuracion!$B$5+Configuracion!$B$6)*Configuracion!$B$2, -1))</f>
        <v/>
      </c>
      <c r="P17">
        <f>IF(J17="", "", ROUND((J17+Configuracion!$B$3+Configuracion!$B$4)*(1+Configuracion!$B$5+Configuracion!$B$6)*Configuracion!$B$2, -1))</f>
        <v/>
      </c>
      <c r="Q17">
        <f>IF(K17="", "", ROUND((K17+Configuracion!$B$3+Configuracion!$B$4)*(1+Configuracion!$B$5+Configuracion!$B$6)*Configuracion!$B$2, -1))</f>
        <v/>
      </c>
      <c r="R17">
        <f>IF(L17="", "", ROUND((L17+Configuracion!$B$3+Configuracion!$B$4)*(1+Configuracion!$B$5+Configuracion!$B$6)*Configuracion!$B$2, -1))</f>
        <v/>
      </c>
      <c r="S17">
        <f>IF(M17="", "", ROUND((M17+Configuracion!$B$3+Configuracion!$B$4)*(1+Configuracion!$B$5+Configuracion!$B$6)*Configuracion!$B$2, -1))</f>
        <v/>
      </c>
    </row>
    <row r="18">
      <c r="A18" t="inlineStr">
        <is>
          <t>123</t>
        </is>
      </c>
      <c r="B18" t="inlineStr">
        <is>
          <t>iPhone 12 Pro Max</t>
        </is>
      </c>
      <c r="C18" t="inlineStr">
        <is>
          <t>Apple</t>
        </is>
      </c>
      <c r="D18" t="inlineStr">
        <is>
          <t>2399</t>
        </is>
      </c>
      <c r="E18" t="inlineStr">
        <is>
          <t>used</t>
        </is>
      </c>
      <c r="F18" t="inlineStr">
        <is>
          <t>Bueno</t>
        </is>
      </c>
      <c r="G18" t="inlineStr">
        <is>
          <t>FALSE</t>
        </is>
      </c>
      <c r="H18" t="inlineStr"/>
      <c r="I18" t="n">
        <v>269.77</v>
      </c>
      <c r="J18" t="n">
        <v>309.74</v>
      </c>
      <c r="K18" t="inlineStr"/>
      <c r="L18" t="inlineStr"/>
      <c r="M18" t="inlineStr"/>
      <c r="N18">
        <f>IF(H18="", "", ROUND((H18+Configuracion!$B$3+Configuracion!$B$4)*(1+Configuracion!$B$5+Configuracion!$B$6)*Configuracion!$B$2, -1))</f>
        <v/>
      </c>
      <c r="O18">
        <f>IF(I18="", "", ROUND((I18+Configuracion!$B$3+Configuracion!$B$4)*(1+Configuracion!$B$5+Configuracion!$B$6)*Configuracion!$B$2, -1))</f>
        <v/>
      </c>
      <c r="P18">
        <f>IF(J18="", "", ROUND((J18+Configuracion!$B$3+Configuracion!$B$4)*(1+Configuracion!$B$5+Configuracion!$B$6)*Configuracion!$B$2, -1))</f>
        <v/>
      </c>
      <c r="Q18">
        <f>IF(K18="", "", ROUND((K18+Configuracion!$B$3+Configuracion!$B$4)*(1+Configuracion!$B$5+Configuracion!$B$6)*Configuracion!$B$2, -1))</f>
        <v/>
      </c>
      <c r="R18">
        <f>IF(L18="", "", ROUND((L18+Configuracion!$B$3+Configuracion!$B$4)*(1+Configuracion!$B$5+Configuracion!$B$6)*Configuracion!$B$2, -1))</f>
        <v/>
      </c>
      <c r="S18">
        <f>IF(M18="", "", ROUND((M18+Configuracion!$B$3+Configuracion!$B$4)*(1+Configuracion!$B$5+Configuracion!$B$6)*Configuracion!$B$2, -1))</f>
        <v/>
      </c>
    </row>
    <row r="19">
      <c r="A19" t="inlineStr">
        <is>
          <t>119</t>
        </is>
      </c>
      <c r="B19" t="inlineStr">
        <is>
          <t>iPhone 12 Pro</t>
        </is>
      </c>
      <c r="C19" t="inlineStr">
        <is>
          <t>Apple</t>
        </is>
      </c>
      <c r="D19" t="inlineStr">
        <is>
          <t>2099</t>
        </is>
      </c>
      <c r="E19" t="inlineStr">
        <is>
          <t>used</t>
        </is>
      </c>
      <c r="F19" t="inlineStr">
        <is>
          <t>Excelente</t>
        </is>
      </c>
      <c r="G19" t="inlineStr">
        <is>
          <t>FALSE</t>
        </is>
      </c>
      <c r="H19" t="inlineStr"/>
      <c r="I19" t="n">
        <v>216.46</v>
      </c>
      <c r="J19" t="n">
        <v>243.11</v>
      </c>
      <c r="K19" t="inlineStr"/>
      <c r="L19" t="inlineStr"/>
      <c r="M19" t="inlineStr"/>
      <c r="N19">
        <f>IF(H19="", "", ROUND((H19+Configuracion!$B$3+Configuracion!$B$4)*(1+Configuracion!$B$5+Configuracion!$B$6)*Configuracion!$B$2, -1))</f>
        <v/>
      </c>
      <c r="O19">
        <f>IF(I19="", "", ROUND((I19+Configuracion!$B$3+Configuracion!$B$4)*(1+Configuracion!$B$5+Configuracion!$B$6)*Configuracion!$B$2, -1))</f>
        <v/>
      </c>
      <c r="P19">
        <f>IF(J19="", "", ROUND((J19+Configuracion!$B$3+Configuracion!$B$4)*(1+Configuracion!$B$5+Configuracion!$B$6)*Configuracion!$B$2, -1))</f>
        <v/>
      </c>
      <c r="Q19">
        <f>IF(K19="", "", ROUND((K19+Configuracion!$B$3+Configuracion!$B$4)*(1+Configuracion!$B$5+Configuracion!$B$6)*Configuracion!$B$2, -1))</f>
        <v/>
      </c>
      <c r="R19">
        <f>IF(L19="", "", ROUND((L19+Configuracion!$B$3+Configuracion!$B$4)*(1+Configuracion!$B$5+Configuracion!$B$6)*Configuracion!$B$2, -1))</f>
        <v/>
      </c>
      <c r="S19">
        <f>IF(M19="", "", ROUND((M19+Configuracion!$B$3+Configuracion!$B$4)*(1+Configuracion!$B$5+Configuracion!$B$6)*Configuracion!$B$2, -1))</f>
        <v/>
      </c>
    </row>
    <row r="20">
      <c r="A20" t="inlineStr">
        <is>
          <t>102</t>
        </is>
      </c>
      <c r="B20" t="inlineStr">
        <is>
          <t>iPhone 12</t>
        </is>
      </c>
      <c r="C20" t="inlineStr">
        <is>
          <t>Apple</t>
        </is>
      </c>
      <c r="D20" t="inlineStr">
        <is>
          <t>1599</t>
        </is>
      </c>
      <c r="E20" t="inlineStr">
        <is>
          <t>used</t>
        </is>
      </c>
      <c r="F20" t="inlineStr">
        <is>
          <t>Bueno</t>
        </is>
      </c>
      <c r="G20" t="inlineStr">
        <is>
          <t>FALSE</t>
        </is>
      </c>
      <c r="H20" t="n">
        <v>43.22</v>
      </c>
      <c r="I20" t="n">
        <v>149.83</v>
      </c>
      <c r="J20" t="inlineStr"/>
      <c r="K20" t="inlineStr"/>
      <c r="L20" t="inlineStr"/>
      <c r="M20" t="inlineStr"/>
      <c r="N20">
        <f>IF(H20="", "", ROUND((H20+Configuracion!$B$3+Configuracion!$B$4)*(1+Configuracion!$B$5+Configuracion!$B$6)*Configuracion!$B$2, -1))</f>
        <v/>
      </c>
      <c r="O20">
        <f>IF(I20="", "", ROUND((I20+Configuracion!$B$3+Configuracion!$B$4)*(1+Configuracion!$B$5+Configuracion!$B$6)*Configuracion!$B$2, -1))</f>
        <v/>
      </c>
      <c r="P20">
        <f>IF(J20="", "", ROUND((J20+Configuracion!$B$3+Configuracion!$B$4)*(1+Configuracion!$B$5+Configuracion!$B$6)*Configuracion!$B$2, -1))</f>
        <v/>
      </c>
      <c r="Q20">
        <f>IF(K20="", "", ROUND((K20+Configuracion!$B$3+Configuracion!$B$4)*(1+Configuracion!$B$5+Configuracion!$B$6)*Configuracion!$B$2, -1))</f>
        <v/>
      </c>
      <c r="R20">
        <f>IF(L20="", "", ROUND((L20+Configuracion!$B$3+Configuracion!$B$4)*(1+Configuracion!$B$5+Configuracion!$B$6)*Configuracion!$B$2, -1))</f>
        <v/>
      </c>
      <c r="S20">
        <f>IF(M20="", "", ROUND((M20+Configuracion!$B$3+Configuracion!$B$4)*(1+Configuracion!$B$5+Configuracion!$B$6)*Configuracion!$B$2, -1))</f>
        <v/>
      </c>
    </row>
    <row r="21">
      <c r="A21" t="inlineStr">
        <is>
          <t>101</t>
        </is>
      </c>
      <c r="B21" t="inlineStr">
        <is>
          <t>iPhone 11</t>
        </is>
      </c>
      <c r="C21" t="inlineStr">
        <is>
          <t>Apple</t>
        </is>
      </c>
      <c r="D21" t="inlineStr">
        <is>
          <t>1299</t>
        </is>
      </c>
      <c r="E21" t="inlineStr">
        <is>
          <t>used</t>
        </is>
      </c>
      <c r="F21" t="inlineStr">
        <is>
          <t>Bueno</t>
        </is>
      </c>
      <c r="G21" t="inlineStr">
        <is>
          <t>FALSE</t>
        </is>
      </c>
      <c r="H21" t="n">
        <v>29.89</v>
      </c>
      <c r="I21" t="n">
        <v>56.55</v>
      </c>
      <c r="J21" t="inlineStr"/>
      <c r="K21" t="inlineStr"/>
      <c r="L21" t="inlineStr"/>
      <c r="M21" t="inlineStr"/>
      <c r="N21">
        <f>IF(H21="", "", ROUND((H21+Configuracion!$B$3+Configuracion!$B$4)*(1+Configuracion!$B$5+Configuracion!$B$6)*Configuracion!$B$2, -1))</f>
        <v/>
      </c>
      <c r="O21">
        <f>IF(I21="", "", ROUND((I21+Configuracion!$B$3+Configuracion!$B$4)*(1+Configuracion!$B$5+Configuracion!$B$6)*Configuracion!$B$2, -1))</f>
        <v/>
      </c>
      <c r="P21">
        <f>IF(J21="", "", ROUND((J21+Configuracion!$B$3+Configuracion!$B$4)*(1+Configuracion!$B$5+Configuracion!$B$6)*Configuracion!$B$2, -1))</f>
        <v/>
      </c>
      <c r="Q21">
        <f>IF(K21="", "", ROUND((K21+Configuracion!$B$3+Configuracion!$B$4)*(1+Configuracion!$B$5+Configuracion!$B$6)*Configuracion!$B$2, -1))</f>
        <v/>
      </c>
      <c r="R21">
        <f>IF(L21="", "", ROUND((L21+Configuracion!$B$3+Configuracion!$B$4)*(1+Configuracion!$B$5+Configuracion!$B$6)*Configuracion!$B$2, -1))</f>
        <v/>
      </c>
      <c r="S21">
        <f>IF(M21="", "", ROUND((M21+Configuracion!$B$3+Configuracion!$B$4)*(1+Configuracion!$B$5+Configuracion!$B$6)*Configuracion!$B$2, -1))</f>
        <v/>
      </c>
    </row>
    <row r="22">
      <c r="A22" t="inlineStr">
        <is>
          <t>215</t>
        </is>
      </c>
      <c r="B22" t="inlineStr">
        <is>
          <t>Google Pixel 10 Pro XL</t>
        </is>
      </c>
      <c r="C22" t="inlineStr">
        <is>
          <t>Google</t>
        </is>
      </c>
      <c r="D22" t="inlineStr">
        <is>
          <t>4999</t>
        </is>
      </c>
      <c r="E22" t="inlineStr">
        <is>
          <t>new</t>
        </is>
      </c>
      <c r="F22" t="inlineStr">
        <is>
          <t>Nuevo Sellado</t>
        </is>
      </c>
      <c r="G22" t="inlineStr">
        <is>
          <t>TRUE</t>
        </is>
      </c>
      <c r="H22" t="inlineStr"/>
      <c r="I22" t="inlineStr"/>
      <c r="J22" t="n">
        <v>1175.95</v>
      </c>
      <c r="K22" t="n">
        <v>1295.88</v>
      </c>
      <c r="L22" t="n">
        <v>1527.76</v>
      </c>
      <c r="M22" t="inlineStr"/>
      <c r="N22">
        <f>IF(H22="", "", ROUND((H22+Configuracion!$B$3+Configuracion!$B$4)*(1+Configuracion!$B$5+Configuracion!$B$6)*Configuracion!$B$2, -1))</f>
        <v/>
      </c>
      <c r="O22">
        <f>IF(I22="", "", ROUND((I22+Configuracion!$B$3+Configuracion!$B$4)*(1+Configuracion!$B$5+Configuracion!$B$6)*Configuracion!$B$2, -1))</f>
        <v/>
      </c>
      <c r="P22">
        <f>IF(J22="", "", ROUND((J22+Configuracion!$B$3+Configuracion!$B$4)*(1+Configuracion!$B$5+Configuracion!$B$6)*Configuracion!$B$2, -1))</f>
        <v/>
      </c>
      <c r="Q22">
        <f>IF(K22="", "", ROUND((K22+Configuracion!$B$3+Configuracion!$B$4)*(1+Configuracion!$B$5+Configuracion!$B$6)*Configuracion!$B$2, -1))</f>
        <v/>
      </c>
      <c r="R22">
        <f>IF(L22="", "", ROUND((L22+Configuracion!$B$3+Configuracion!$B$4)*(1+Configuracion!$B$5+Configuracion!$B$6)*Configuracion!$B$2, -1))</f>
        <v/>
      </c>
      <c r="S22">
        <f>IF(M22="", "", ROUND((M22+Configuracion!$B$3+Configuracion!$B$4)*(1+Configuracion!$B$5+Configuracion!$B$6)*Configuracion!$B$2, -1))</f>
        <v/>
      </c>
    </row>
    <row r="23">
      <c r="A23" t="inlineStr">
        <is>
          <t>214</t>
        </is>
      </c>
      <c r="B23" t="inlineStr">
        <is>
          <t>Google Pixel 10 Pro</t>
        </is>
      </c>
      <c r="C23" t="inlineStr">
        <is>
          <t>Google</t>
        </is>
      </c>
      <c r="D23" t="inlineStr">
        <is>
          <t>4499</t>
        </is>
      </c>
      <c r="E23" t="inlineStr">
        <is>
          <t>new</t>
        </is>
      </c>
      <c r="F23" t="inlineStr">
        <is>
          <t>Nuevo Sellado</t>
        </is>
      </c>
      <c r="G23" t="inlineStr">
        <is>
          <t>TRUE</t>
        </is>
      </c>
      <c r="H23" t="inlineStr"/>
      <c r="I23" t="n">
        <v>994.71</v>
      </c>
      <c r="J23" t="n">
        <v>1095.99</v>
      </c>
      <c r="K23" t="n">
        <v>1215.93</v>
      </c>
      <c r="L23" t="n">
        <v>1447.8</v>
      </c>
      <c r="M23" t="inlineStr"/>
      <c r="N23">
        <f>IF(H23="", "", ROUND((H23+Configuracion!$B$3+Configuracion!$B$4)*(1+Configuracion!$B$5+Configuracion!$B$6)*Configuracion!$B$2, -1))</f>
        <v/>
      </c>
      <c r="O23">
        <f>IF(I23="", "", ROUND((I23+Configuracion!$B$3+Configuracion!$B$4)*(1+Configuracion!$B$5+Configuracion!$B$6)*Configuracion!$B$2, -1))</f>
        <v/>
      </c>
      <c r="P23">
        <f>IF(J23="", "", ROUND((J23+Configuracion!$B$3+Configuracion!$B$4)*(1+Configuracion!$B$5+Configuracion!$B$6)*Configuracion!$B$2, -1))</f>
        <v/>
      </c>
      <c r="Q23">
        <f>IF(K23="", "", ROUND((K23+Configuracion!$B$3+Configuracion!$B$4)*(1+Configuracion!$B$5+Configuracion!$B$6)*Configuracion!$B$2, -1))</f>
        <v/>
      </c>
      <c r="R23">
        <f>IF(L23="", "", ROUND((L23+Configuracion!$B$3+Configuracion!$B$4)*(1+Configuracion!$B$5+Configuracion!$B$6)*Configuracion!$B$2, -1))</f>
        <v/>
      </c>
      <c r="S23">
        <f>IF(M23="", "", ROUND((M23+Configuracion!$B$3+Configuracion!$B$4)*(1+Configuracion!$B$5+Configuracion!$B$6)*Configuracion!$B$2, -1))</f>
        <v/>
      </c>
    </row>
    <row r="24">
      <c r="A24" t="inlineStr">
        <is>
          <t>213</t>
        </is>
      </c>
      <c r="B24" t="inlineStr">
        <is>
          <t>Google Pixel 10</t>
        </is>
      </c>
      <c r="C24" t="inlineStr">
        <is>
          <t>Google</t>
        </is>
      </c>
      <c r="D24" t="inlineStr">
        <is>
          <t>3499</t>
        </is>
      </c>
      <c r="E24" t="inlineStr">
        <is>
          <t>new</t>
        </is>
      </c>
      <c r="F24" t="inlineStr">
        <is>
          <t>Nuevo Sellado</t>
        </is>
      </c>
      <c r="G24" t="inlineStr">
        <is>
          <t>TRUE</t>
        </is>
      </c>
      <c r="H24" t="inlineStr"/>
      <c r="I24" t="n">
        <v>793.49</v>
      </c>
      <c r="J24" t="n">
        <v>896.1</v>
      </c>
      <c r="K24" t="inlineStr"/>
      <c r="L24" t="inlineStr"/>
      <c r="M24" t="inlineStr"/>
      <c r="N24">
        <f>IF(H24="", "", ROUND((H24+Configuracion!$B$3+Configuracion!$B$4)*(1+Configuracion!$B$5+Configuracion!$B$6)*Configuracion!$B$2, -1))</f>
        <v/>
      </c>
      <c r="O24">
        <f>IF(I24="", "", ROUND((I24+Configuracion!$B$3+Configuracion!$B$4)*(1+Configuracion!$B$5+Configuracion!$B$6)*Configuracion!$B$2, -1))</f>
        <v/>
      </c>
      <c r="P24">
        <f>IF(J24="", "", ROUND((J24+Configuracion!$B$3+Configuracion!$B$4)*(1+Configuracion!$B$5+Configuracion!$B$6)*Configuracion!$B$2, -1))</f>
        <v/>
      </c>
      <c r="Q24">
        <f>IF(K24="", "", ROUND((K24+Configuracion!$B$3+Configuracion!$B$4)*(1+Configuracion!$B$5+Configuracion!$B$6)*Configuracion!$B$2, -1))</f>
        <v/>
      </c>
      <c r="R24">
        <f>IF(L24="", "", ROUND((L24+Configuracion!$B$3+Configuracion!$B$4)*(1+Configuracion!$B$5+Configuracion!$B$6)*Configuracion!$B$2, -1))</f>
        <v/>
      </c>
      <c r="S24">
        <f>IF(M24="", "", ROUND((M24+Configuracion!$B$3+Configuracion!$B$4)*(1+Configuracion!$B$5+Configuracion!$B$6)*Configuracion!$B$2, -1))</f>
        <v/>
      </c>
    </row>
    <row r="25">
      <c r="A25" t="inlineStr">
        <is>
          <t>216</t>
        </is>
      </c>
      <c r="B25" t="inlineStr">
        <is>
          <t>Google Pixel 10a</t>
        </is>
      </c>
      <c r="C25" t="inlineStr">
        <is>
          <t>Google</t>
        </is>
      </c>
      <c r="D25" t="inlineStr">
        <is>
          <t>2299</t>
        </is>
      </c>
      <c r="E25" t="inlineStr">
        <is>
          <t>new</t>
        </is>
      </c>
      <c r="F25" t="inlineStr">
        <is>
          <t>Nuevo Sellado</t>
        </is>
      </c>
      <c r="G25" t="inlineStr">
        <is>
          <t>FALSE</t>
        </is>
      </c>
      <c r="H25" t="inlineStr"/>
      <c r="I25" t="n">
        <v>442.74</v>
      </c>
      <c r="J25" t="n">
        <v>576</v>
      </c>
      <c r="K25" t="inlineStr"/>
      <c r="L25" t="inlineStr"/>
      <c r="M25" t="inlineStr"/>
      <c r="N25">
        <f>IF(H25="", "", ROUND((H25+Configuracion!$B$3+Configuracion!$B$4)*(1+Configuracion!$B$5+Configuracion!$B$6)*Configuracion!$B$2, -1))</f>
        <v/>
      </c>
      <c r="O25">
        <f>IF(I25="", "", ROUND((I25+Configuracion!$B$3+Configuracion!$B$4)*(1+Configuracion!$B$5+Configuracion!$B$6)*Configuracion!$B$2, -1))</f>
        <v/>
      </c>
      <c r="P25">
        <f>IF(J25="", "", ROUND((J25+Configuracion!$B$3+Configuracion!$B$4)*(1+Configuracion!$B$5+Configuracion!$B$6)*Configuracion!$B$2, -1))</f>
        <v/>
      </c>
      <c r="Q25">
        <f>IF(K25="", "", ROUND((K25+Configuracion!$B$3+Configuracion!$B$4)*(1+Configuracion!$B$5+Configuracion!$B$6)*Configuracion!$B$2, -1))</f>
        <v/>
      </c>
      <c r="R25">
        <f>IF(L25="", "", ROUND((L25+Configuracion!$B$3+Configuracion!$B$4)*(1+Configuracion!$B$5+Configuracion!$B$6)*Configuracion!$B$2, -1))</f>
        <v/>
      </c>
      <c r="S25">
        <f>IF(M25="", "", ROUND((M25+Configuracion!$B$3+Configuracion!$B$4)*(1+Configuracion!$B$5+Configuracion!$B$6)*Configuracion!$B$2, -1))</f>
        <v/>
      </c>
    </row>
    <row r="26">
      <c r="A26" t="inlineStr">
        <is>
          <t>212</t>
        </is>
      </c>
      <c r="B26" t="inlineStr">
        <is>
          <t>Google Pixel 9 Pro XL</t>
        </is>
      </c>
      <c r="C26" t="inlineStr">
        <is>
          <t>Google</t>
        </is>
      </c>
      <c r="D26" t="inlineStr">
        <is>
          <t>3999</t>
        </is>
      </c>
      <c r="E26" t="inlineStr">
        <is>
          <t>used</t>
        </is>
      </c>
      <c r="F26" t="inlineStr">
        <is>
          <t>Excelente</t>
        </is>
      </c>
      <c r="G26" t="inlineStr">
        <is>
          <t>TRUE</t>
        </is>
      </c>
      <c r="H26" t="inlineStr"/>
      <c r="I26" t="n">
        <v>469.66</v>
      </c>
      <c r="J26" t="n">
        <v>1029.09</v>
      </c>
      <c r="K26" t="n">
        <v>1162.36</v>
      </c>
      <c r="L26" t="n">
        <v>1295.62</v>
      </c>
      <c r="M26" t="inlineStr"/>
      <c r="N26">
        <f>IF(H26="", "", ROUND((H26+Configuracion!$B$3+Configuracion!$B$4)*(1+Configuracion!$B$5+Configuracion!$B$6)*Configuracion!$B$2, -1))</f>
        <v/>
      </c>
      <c r="O26">
        <f>IF(I26="", "", ROUND((I26+Configuracion!$B$3+Configuracion!$B$4)*(1+Configuracion!$B$5+Configuracion!$B$6)*Configuracion!$B$2, -1))</f>
        <v/>
      </c>
      <c r="P26">
        <f>IF(J26="", "", ROUND((J26+Configuracion!$B$3+Configuracion!$B$4)*(1+Configuracion!$B$5+Configuracion!$B$6)*Configuracion!$B$2, -1))</f>
        <v/>
      </c>
      <c r="Q26">
        <f>IF(K26="", "", ROUND((K26+Configuracion!$B$3+Configuracion!$B$4)*(1+Configuracion!$B$5+Configuracion!$B$6)*Configuracion!$B$2, -1))</f>
        <v/>
      </c>
      <c r="R26">
        <f>IF(L26="", "", ROUND((L26+Configuracion!$B$3+Configuracion!$B$4)*(1+Configuracion!$B$5+Configuracion!$B$6)*Configuracion!$B$2, -1))</f>
        <v/>
      </c>
      <c r="S26">
        <f>IF(M26="", "", ROUND((M26+Configuracion!$B$3+Configuracion!$B$4)*(1+Configuracion!$B$5+Configuracion!$B$6)*Configuracion!$B$2, -1))</f>
        <v/>
      </c>
    </row>
    <row r="27">
      <c r="A27" t="inlineStr">
        <is>
          <t>211</t>
        </is>
      </c>
      <c r="B27" t="inlineStr">
        <is>
          <t>Google Pixel 9 Pro</t>
        </is>
      </c>
      <c r="C27" t="inlineStr">
        <is>
          <t>Google</t>
        </is>
      </c>
      <c r="D27" t="inlineStr">
        <is>
          <t>3499</t>
        </is>
      </c>
      <c r="E27" t="inlineStr">
        <is>
          <t>used</t>
        </is>
      </c>
      <c r="F27" t="inlineStr">
        <is>
          <t>Excelente</t>
        </is>
      </c>
      <c r="G27" t="inlineStr">
        <is>
          <t>TRUE</t>
        </is>
      </c>
      <c r="H27" t="inlineStr"/>
      <c r="I27" t="n">
        <v>416.35</v>
      </c>
      <c r="J27" t="n">
        <v>895.83</v>
      </c>
      <c r="K27" t="n">
        <v>1029.09</v>
      </c>
      <c r="L27" t="n">
        <v>1162.36</v>
      </c>
      <c r="M27" t="inlineStr"/>
      <c r="N27">
        <f>IF(H27="", "", ROUND((H27+Configuracion!$B$3+Configuracion!$B$4)*(1+Configuracion!$B$5+Configuracion!$B$6)*Configuracion!$B$2, -1))</f>
        <v/>
      </c>
      <c r="O27">
        <f>IF(I27="", "", ROUND((I27+Configuracion!$B$3+Configuracion!$B$4)*(1+Configuracion!$B$5+Configuracion!$B$6)*Configuracion!$B$2, -1))</f>
        <v/>
      </c>
      <c r="P27">
        <f>IF(J27="", "", ROUND((J27+Configuracion!$B$3+Configuracion!$B$4)*(1+Configuracion!$B$5+Configuracion!$B$6)*Configuracion!$B$2, -1))</f>
        <v/>
      </c>
      <c r="Q27">
        <f>IF(K27="", "", ROUND((K27+Configuracion!$B$3+Configuracion!$B$4)*(1+Configuracion!$B$5+Configuracion!$B$6)*Configuracion!$B$2, -1))</f>
        <v/>
      </c>
      <c r="R27">
        <f>IF(L27="", "", ROUND((L27+Configuracion!$B$3+Configuracion!$B$4)*(1+Configuracion!$B$5+Configuracion!$B$6)*Configuracion!$B$2, -1))</f>
        <v/>
      </c>
      <c r="S27">
        <f>IF(M27="", "", ROUND((M27+Configuracion!$B$3+Configuracion!$B$4)*(1+Configuracion!$B$5+Configuracion!$B$6)*Configuracion!$B$2, -1))</f>
        <v/>
      </c>
    </row>
    <row r="28">
      <c r="A28" t="inlineStr">
        <is>
          <t>210</t>
        </is>
      </c>
      <c r="B28" t="inlineStr">
        <is>
          <t>Google Pixel 9</t>
        </is>
      </c>
      <c r="C28" t="inlineStr">
        <is>
          <t>Google</t>
        </is>
      </c>
      <c r="D28" t="inlineStr">
        <is>
          <t>2799</t>
        </is>
      </c>
      <c r="E28" t="inlineStr">
        <is>
          <t>used</t>
        </is>
      </c>
      <c r="F28" t="inlineStr">
        <is>
          <t>Open Box</t>
        </is>
      </c>
      <c r="G28" t="inlineStr">
        <is>
          <t>TRUE</t>
        </is>
      </c>
      <c r="H28" t="inlineStr"/>
      <c r="I28" t="n">
        <v>376.38</v>
      </c>
      <c r="J28" t="n">
        <v>709.26</v>
      </c>
      <c r="K28" t="inlineStr"/>
      <c r="L28" t="inlineStr"/>
      <c r="M28" t="inlineStr"/>
      <c r="N28">
        <f>IF(H28="", "", ROUND((H28+Configuracion!$B$3+Configuracion!$B$4)*(1+Configuracion!$B$5+Configuracion!$B$6)*Configuracion!$B$2, -1))</f>
        <v/>
      </c>
      <c r="O28">
        <f>IF(I28="", "", ROUND((I28+Configuracion!$B$3+Configuracion!$B$4)*(1+Configuracion!$B$5+Configuracion!$B$6)*Configuracion!$B$2, -1))</f>
        <v/>
      </c>
      <c r="P28">
        <f>IF(J28="", "", ROUND((J28+Configuracion!$B$3+Configuracion!$B$4)*(1+Configuracion!$B$5+Configuracion!$B$6)*Configuracion!$B$2, -1))</f>
        <v/>
      </c>
      <c r="Q28">
        <f>IF(K28="", "", ROUND((K28+Configuracion!$B$3+Configuracion!$B$4)*(1+Configuracion!$B$5+Configuracion!$B$6)*Configuracion!$B$2, -1))</f>
        <v/>
      </c>
      <c r="R28">
        <f>IF(L28="", "", ROUND((L28+Configuracion!$B$3+Configuracion!$B$4)*(1+Configuracion!$B$5+Configuracion!$B$6)*Configuracion!$B$2, -1))</f>
        <v/>
      </c>
      <c r="S28">
        <f>IF(M28="", "", ROUND((M28+Configuracion!$B$3+Configuracion!$B$4)*(1+Configuracion!$B$5+Configuracion!$B$6)*Configuracion!$B$2, -1))</f>
        <v/>
      </c>
    </row>
    <row r="29">
      <c r="A29" t="inlineStr">
        <is>
          <t>217</t>
        </is>
      </c>
      <c r="B29" t="inlineStr">
        <is>
          <t>Google Pixel 9a</t>
        </is>
      </c>
      <c r="C29" t="inlineStr">
        <is>
          <t>Google</t>
        </is>
      </c>
      <c r="D29" t="inlineStr">
        <is>
          <t>1999</t>
        </is>
      </c>
      <c r="E29" t="inlineStr">
        <is>
          <t>used</t>
        </is>
      </c>
      <c r="F29" t="inlineStr">
        <is>
          <t>Open Box</t>
        </is>
      </c>
      <c r="G29" t="inlineStr">
        <is>
          <t>TRUE</t>
        </is>
      </c>
      <c r="H29" t="inlineStr"/>
      <c r="I29" t="n">
        <v>296.42</v>
      </c>
      <c r="J29" t="n">
        <v>496.04</v>
      </c>
      <c r="K29" t="inlineStr"/>
      <c r="L29" t="inlineStr"/>
      <c r="M29" t="inlineStr"/>
      <c r="N29">
        <f>IF(H29="", "", ROUND((H29+Configuracion!$B$3+Configuracion!$B$4)*(1+Configuracion!$B$5+Configuracion!$B$6)*Configuracion!$B$2, -1))</f>
        <v/>
      </c>
      <c r="O29">
        <f>IF(I29="", "", ROUND((I29+Configuracion!$B$3+Configuracion!$B$4)*(1+Configuracion!$B$5+Configuracion!$B$6)*Configuracion!$B$2, -1))</f>
        <v/>
      </c>
      <c r="P29">
        <f>IF(J29="", "", ROUND((J29+Configuracion!$B$3+Configuracion!$B$4)*(1+Configuracion!$B$5+Configuracion!$B$6)*Configuracion!$B$2, -1))</f>
        <v/>
      </c>
      <c r="Q29">
        <f>IF(K29="", "", ROUND((K29+Configuracion!$B$3+Configuracion!$B$4)*(1+Configuracion!$B$5+Configuracion!$B$6)*Configuracion!$B$2, -1))</f>
        <v/>
      </c>
      <c r="R29">
        <f>IF(L29="", "", ROUND((L29+Configuracion!$B$3+Configuracion!$B$4)*(1+Configuracion!$B$5+Configuracion!$B$6)*Configuracion!$B$2, -1))</f>
        <v/>
      </c>
      <c r="S29">
        <f>IF(M29="", "", ROUND((M29+Configuracion!$B$3+Configuracion!$B$4)*(1+Configuracion!$B$5+Configuracion!$B$6)*Configuracion!$B$2, -1))</f>
        <v/>
      </c>
    </row>
    <row r="30">
      <c r="A30" t="inlineStr">
        <is>
          <t>206</t>
        </is>
      </c>
      <c r="B30" t="inlineStr">
        <is>
          <t>Google Pixel 8 Pro</t>
        </is>
      </c>
      <c r="C30" t="inlineStr">
        <is>
          <t>Google</t>
        </is>
      </c>
      <c r="D30" t="inlineStr">
        <is>
          <t>3699</t>
        </is>
      </c>
      <c r="E30" t="inlineStr">
        <is>
          <t>used</t>
        </is>
      </c>
      <c r="F30" t="inlineStr">
        <is>
          <t>Bueno</t>
        </is>
      </c>
      <c r="G30" t="inlineStr">
        <is>
          <t>TRUE</t>
        </is>
      </c>
      <c r="H30" t="inlineStr"/>
      <c r="I30" t="n">
        <v>309.74</v>
      </c>
      <c r="J30" t="n">
        <v>336.4</v>
      </c>
      <c r="K30" t="inlineStr"/>
      <c r="L30" t="inlineStr"/>
      <c r="M30" t="inlineStr"/>
      <c r="N30">
        <f>IF(H30="", "", ROUND((H30+Configuracion!$B$3+Configuracion!$B$4)*(1+Configuracion!$B$5+Configuracion!$B$6)*Configuracion!$B$2, -1))</f>
        <v/>
      </c>
      <c r="O30">
        <f>IF(I30="", "", ROUND((I30+Configuracion!$B$3+Configuracion!$B$4)*(1+Configuracion!$B$5+Configuracion!$B$6)*Configuracion!$B$2, -1))</f>
        <v/>
      </c>
      <c r="P30">
        <f>IF(J30="", "", ROUND((J30+Configuracion!$B$3+Configuracion!$B$4)*(1+Configuracion!$B$5+Configuracion!$B$6)*Configuracion!$B$2, -1))</f>
        <v/>
      </c>
      <c r="Q30">
        <f>IF(K30="", "", ROUND((K30+Configuracion!$B$3+Configuracion!$B$4)*(1+Configuracion!$B$5+Configuracion!$B$6)*Configuracion!$B$2, -1))</f>
        <v/>
      </c>
      <c r="R30">
        <f>IF(L30="", "", ROUND((L30+Configuracion!$B$3+Configuracion!$B$4)*(1+Configuracion!$B$5+Configuracion!$B$6)*Configuracion!$B$2, -1))</f>
        <v/>
      </c>
      <c r="S30">
        <f>IF(M30="", "", ROUND((M30+Configuracion!$B$3+Configuracion!$B$4)*(1+Configuracion!$B$5+Configuracion!$B$6)*Configuracion!$B$2, -1))</f>
        <v/>
      </c>
    </row>
    <row r="31">
      <c r="A31" t="inlineStr">
        <is>
          <t>205</t>
        </is>
      </c>
      <c r="B31" t="inlineStr">
        <is>
          <t>Google Pixel 8</t>
        </is>
      </c>
      <c r="C31" t="inlineStr">
        <is>
          <t>Google</t>
        </is>
      </c>
      <c r="D31" t="inlineStr">
        <is>
          <t>2799</t>
        </is>
      </c>
      <c r="E31" t="inlineStr">
        <is>
          <t>used</t>
        </is>
      </c>
      <c r="F31" t="inlineStr">
        <is>
          <t>Excelente</t>
        </is>
      </c>
      <c r="G31" t="inlineStr">
        <is>
          <t>FALSE</t>
        </is>
      </c>
      <c r="H31" t="inlineStr"/>
      <c r="I31" t="n">
        <v>216.46</v>
      </c>
      <c r="J31" t="n">
        <v>296.42</v>
      </c>
      <c r="K31" t="inlineStr"/>
      <c r="L31" t="inlineStr"/>
      <c r="M31" t="inlineStr"/>
      <c r="N31">
        <f>IF(H31="", "", ROUND((H31+Configuracion!$B$3+Configuracion!$B$4)*(1+Configuracion!$B$5+Configuracion!$B$6)*Configuracion!$B$2, -1))</f>
        <v/>
      </c>
      <c r="O31">
        <f>IF(I31="", "", ROUND((I31+Configuracion!$B$3+Configuracion!$B$4)*(1+Configuracion!$B$5+Configuracion!$B$6)*Configuracion!$B$2, -1))</f>
        <v/>
      </c>
      <c r="P31">
        <f>IF(J31="", "", ROUND((J31+Configuracion!$B$3+Configuracion!$B$4)*(1+Configuracion!$B$5+Configuracion!$B$6)*Configuracion!$B$2, -1))</f>
        <v/>
      </c>
      <c r="Q31">
        <f>IF(K31="", "", ROUND((K31+Configuracion!$B$3+Configuracion!$B$4)*(1+Configuracion!$B$5+Configuracion!$B$6)*Configuracion!$B$2, -1))</f>
        <v/>
      </c>
      <c r="R31">
        <f>IF(L31="", "", ROUND((L31+Configuracion!$B$3+Configuracion!$B$4)*(1+Configuracion!$B$5+Configuracion!$B$6)*Configuracion!$B$2, -1))</f>
        <v/>
      </c>
      <c r="S31">
        <f>IF(M31="", "", ROUND((M31+Configuracion!$B$3+Configuracion!$B$4)*(1+Configuracion!$B$5+Configuracion!$B$6)*Configuracion!$B$2, -1))</f>
        <v/>
      </c>
    </row>
    <row r="32">
      <c r="A32" t="inlineStr">
        <is>
          <t>209</t>
        </is>
      </c>
      <c r="B32" t="inlineStr">
        <is>
          <t>Google Pixel 8a</t>
        </is>
      </c>
      <c r="C32" t="inlineStr">
        <is>
          <t>Google</t>
        </is>
      </c>
      <c r="D32" t="inlineStr">
        <is>
          <t>1499</t>
        </is>
      </c>
      <c r="E32" t="inlineStr">
        <is>
          <t>used</t>
        </is>
      </c>
      <c r="F32" t="inlineStr">
        <is>
          <t>Bueno</t>
        </is>
      </c>
      <c r="G32" t="inlineStr">
        <is>
          <t>FALSE</t>
        </is>
      </c>
      <c r="H32" t="inlineStr"/>
      <c r="I32" t="n">
        <v>176.48</v>
      </c>
      <c r="J32" t="inlineStr"/>
      <c r="K32" t="inlineStr"/>
      <c r="L32" t="inlineStr"/>
      <c r="M32" t="inlineStr"/>
      <c r="N32">
        <f>IF(H32="", "", ROUND((H32+Configuracion!$B$3+Configuracion!$B$4)*(1+Configuracion!$B$5+Configuracion!$B$6)*Configuracion!$B$2, -1))</f>
        <v/>
      </c>
      <c r="O32">
        <f>IF(I32="", "", ROUND((I32+Configuracion!$B$3+Configuracion!$B$4)*(1+Configuracion!$B$5+Configuracion!$B$6)*Configuracion!$B$2, -1))</f>
        <v/>
      </c>
      <c r="P32">
        <f>IF(J32="", "", ROUND((J32+Configuracion!$B$3+Configuracion!$B$4)*(1+Configuracion!$B$5+Configuracion!$B$6)*Configuracion!$B$2, -1))</f>
        <v/>
      </c>
      <c r="Q32">
        <f>IF(K32="", "", ROUND((K32+Configuracion!$B$3+Configuracion!$B$4)*(1+Configuracion!$B$5+Configuracion!$B$6)*Configuracion!$B$2, -1))</f>
        <v/>
      </c>
      <c r="R32">
        <f>IF(L32="", "", ROUND((L32+Configuracion!$B$3+Configuracion!$B$4)*(1+Configuracion!$B$5+Configuracion!$B$6)*Configuracion!$B$2, -1))</f>
        <v/>
      </c>
      <c r="S32">
        <f>IF(M32="", "", ROUND((M32+Configuracion!$B$3+Configuracion!$B$4)*(1+Configuracion!$B$5+Configuracion!$B$6)*Configuracion!$B$2, -1))</f>
        <v/>
      </c>
    </row>
    <row r="33">
      <c r="A33" t="inlineStr">
        <is>
          <t>204</t>
        </is>
      </c>
      <c r="B33" t="inlineStr">
        <is>
          <t>Google Pixel 7 Pro</t>
        </is>
      </c>
      <c r="C33" t="inlineStr">
        <is>
          <t>Google</t>
        </is>
      </c>
      <c r="D33" t="inlineStr">
        <is>
          <t>2499</t>
        </is>
      </c>
      <c r="E33" t="inlineStr">
        <is>
          <t>used</t>
        </is>
      </c>
      <c r="F33" t="inlineStr">
        <is>
          <t>Bueno</t>
        </is>
      </c>
      <c r="G33" t="inlineStr">
        <is>
          <t>FALSE</t>
        </is>
      </c>
      <c r="H33" t="inlineStr"/>
      <c r="I33" t="n">
        <v>65.87</v>
      </c>
      <c r="J33" t="n">
        <v>149.83</v>
      </c>
      <c r="K33" t="inlineStr"/>
      <c r="L33" t="inlineStr"/>
      <c r="M33" t="inlineStr"/>
      <c r="N33">
        <f>IF(H33="", "", ROUND((H33+Configuracion!$B$3+Configuracion!$B$4)*(1+Configuracion!$B$5+Configuracion!$B$6)*Configuracion!$B$2, -1))</f>
        <v/>
      </c>
      <c r="O33">
        <f>IF(I33="", "", ROUND((I33+Configuracion!$B$3+Configuracion!$B$4)*(1+Configuracion!$B$5+Configuracion!$B$6)*Configuracion!$B$2, -1))</f>
        <v/>
      </c>
      <c r="P33">
        <f>IF(J33="", "", ROUND((J33+Configuracion!$B$3+Configuracion!$B$4)*(1+Configuracion!$B$5+Configuracion!$B$6)*Configuracion!$B$2, -1))</f>
        <v/>
      </c>
      <c r="Q33">
        <f>IF(K33="", "", ROUND((K33+Configuracion!$B$3+Configuracion!$B$4)*(1+Configuracion!$B$5+Configuracion!$B$6)*Configuracion!$B$2, -1))</f>
        <v/>
      </c>
      <c r="R33">
        <f>IF(L33="", "", ROUND((L33+Configuracion!$B$3+Configuracion!$B$4)*(1+Configuracion!$B$5+Configuracion!$B$6)*Configuracion!$B$2, -1))</f>
        <v/>
      </c>
      <c r="S33">
        <f>IF(M33="", "", ROUND((M33+Configuracion!$B$3+Configuracion!$B$4)*(1+Configuracion!$B$5+Configuracion!$B$6)*Configuracion!$B$2, -1))</f>
        <v/>
      </c>
    </row>
    <row r="34">
      <c r="A34" t="inlineStr">
        <is>
          <t>203</t>
        </is>
      </c>
      <c r="B34" t="inlineStr">
        <is>
          <t>Google Pixel 7</t>
        </is>
      </c>
      <c r="C34" t="inlineStr">
        <is>
          <t>Google</t>
        </is>
      </c>
      <c r="D34" t="inlineStr">
        <is>
          <t>1899</t>
        </is>
      </c>
      <c r="E34" t="inlineStr">
        <is>
          <t>used</t>
        </is>
      </c>
      <c r="F34" t="inlineStr">
        <is>
          <t>Bueno</t>
        </is>
      </c>
      <c r="G34" t="inlineStr">
        <is>
          <t>FALSE</t>
        </is>
      </c>
      <c r="H34" t="inlineStr"/>
      <c r="I34" t="n">
        <v>45.88</v>
      </c>
      <c r="J34" t="n">
        <v>72.54000000000001</v>
      </c>
      <c r="K34" t="inlineStr"/>
      <c r="L34" t="inlineStr"/>
      <c r="M34" t="inlineStr"/>
      <c r="N34">
        <f>IF(H34="", "", ROUND((H34+Configuracion!$B$3+Configuracion!$B$4)*(1+Configuracion!$B$5+Configuracion!$B$6)*Configuracion!$B$2, -1))</f>
        <v/>
      </c>
      <c r="O34">
        <f>IF(I34="", "", ROUND((I34+Configuracion!$B$3+Configuracion!$B$4)*(1+Configuracion!$B$5+Configuracion!$B$6)*Configuracion!$B$2, -1))</f>
        <v/>
      </c>
      <c r="P34">
        <f>IF(J34="", "", ROUND((J34+Configuracion!$B$3+Configuracion!$B$4)*(1+Configuracion!$B$5+Configuracion!$B$6)*Configuracion!$B$2, -1))</f>
        <v/>
      </c>
      <c r="Q34">
        <f>IF(K34="", "", ROUND((K34+Configuracion!$B$3+Configuracion!$B$4)*(1+Configuracion!$B$5+Configuracion!$B$6)*Configuracion!$B$2, -1))</f>
        <v/>
      </c>
      <c r="R34">
        <f>IF(L34="", "", ROUND((L34+Configuracion!$B$3+Configuracion!$B$4)*(1+Configuracion!$B$5+Configuracion!$B$6)*Configuracion!$B$2, -1))</f>
        <v/>
      </c>
      <c r="S34">
        <f>IF(M34="", "", ROUND((M34+Configuracion!$B$3+Configuracion!$B$4)*(1+Configuracion!$B$5+Configuracion!$B$6)*Configuracion!$B$2, -1))</f>
        <v/>
      </c>
    </row>
    <row r="35">
      <c r="A35" t="inlineStr">
        <is>
          <t>208</t>
        </is>
      </c>
      <c r="B35" t="inlineStr">
        <is>
          <t>Google Pixel 7a</t>
        </is>
      </c>
      <c r="C35" t="inlineStr">
        <is>
          <t>Google</t>
        </is>
      </c>
      <c r="D35" t="inlineStr">
        <is>
          <t>6000</t>
        </is>
      </c>
      <c r="E35" t="inlineStr">
        <is>
          <t>used</t>
        </is>
      </c>
      <c r="F35" t="inlineStr">
        <is>
          <t>Bueno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>
        <f>IF(H35="", "", ROUND((H35+Configuracion!$B$3+Configuracion!$B$4)*(1+Configuracion!$B$5+Configuracion!$B$6)*Configuracion!$B$2, -1))</f>
        <v/>
      </c>
      <c r="O35">
        <f>IF(I35="", "", ROUND((I35+Configuracion!$B$3+Configuracion!$B$4)*(1+Configuracion!$B$5+Configuracion!$B$6)*Configuracion!$B$2, -1))</f>
        <v/>
      </c>
      <c r="P35">
        <f>IF(J35="", "", ROUND((J35+Configuracion!$B$3+Configuracion!$B$4)*(1+Configuracion!$B$5+Configuracion!$B$6)*Configuracion!$B$2, -1))</f>
        <v/>
      </c>
      <c r="Q35">
        <f>IF(K35="", "", ROUND((K35+Configuracion!$B$3+Configuracion!$B$4)*(1+Configuracion!$B$5+Configuracion!$B$6)*Configuracion!$B$2, -1))</f>
        <v/>
      </c>
      <c r="R35">
        <f>IF(L35="", "", ROUND((L35+Configuracion!$B$3+Configuracion!$B$4)*(1+Configuracion!$B$5+Configuracion!$B$6)*Configuracion!$B$2, -1))</f>
        <v/>
      </c>
      <c r="S35">
        <f>IF(M35="", "", ROUND((M35+Configuracion!$B$3+Configuracion!$B$4)*(1+Configuracion!$B$5+Configuracion!$B$6)*Configuracion!$B$2, -1))</f>
        <v/>
      </c>
    </row>
    <row r="36">
      <c r="A36" t="inlineStr">
        <is>
          <t>202</t>
        </is>
      </c>
      <c r="B36" t="inlineStr">
        <is>
          <t>Google Pixel 6 Pro</t>
        </is>
      </c>
      <c r="C36" t="inlineStr">
        <is>
          <t>Google</t>
        </is>
      </c>
      <c r="D36" t="inlineStr">
        <is>
          <t>1399</t>
        </is>
      </c>
      <c r="E36" t="inlineStr">
        <is>
          <t>used</t>
        </is>
      </c>
      <c r="F36" t="inlineStr">
        <is>
          <t>Bueno</t>
        </is>
      </c>
      <c r="G36" t="inlineStr">
        <is>
          <t>FALSE</t>
        </is>
      </c>
      <c r="H36" t="inlineStr"/>
      <c r="I36" t="n">
        <v>35.22</v>
      </c>
      <c r="J36" t="n">
        <v>56.55</v>
      </c>
      <c r="K36" t="inlineStr"/>
      <c r="L36" t="inlineStr"/>
      <c r="M36" t="inlineStr"/>
      <c r="N36">
        <f>IF(H36="", "", ROUND((H36+Configuracion!$B$3+Configuracion!$B$4)*(1+Configuracion!$B$5+Configuracion!$B$6)*Configuracion!$B$2, -1))</f>
        <v/>
      </c>
      <c r="O36">
        <f>IF(I36="", "", ROUND((I36+Configuracion!$B$3+Configuracion!$B$4)*(1+Configuracion!$B$5+Configuracion!$B$6)*Configuracion!$B$2, -1))</f>
        <v/>
      </c>
      <c r="P36">
        <f>IF(J36="", "", ROUND((J36+Configuracion!$B$3+Configuracion!$B$4)*(1+Configuracion!$B$5+Configuracion!$B$6)*Configuracion!$B$2, -1))</f>
        <v/>
      </c>
      <c r="Q36">
        <f>IF(K36="", "", ROUND((K36+Configuracion!$B$3+Configuracion!$B$4)*(1+Configuracion!$B$5+Configuracion!$B$6)*Configuracion!$B$2, -1))</f>
        <v/>
      </c>
      <c r="R36">
        <f>IF(L36="", "", ROUND((L36+Configuracion!$B$3+Configuracion!$B$4)*(1+Configuracion!$B$5+Configuracion!$B$6)*Configuracion!$B$2, -1))</f>
        <v/>
      </c>
      <c r="S36">
        <f>IF(M36="", "", ROUND((M36+Configuracion!$B$3+Configuracion!$B$4)*(1+Configuracion!$B$5+Configuracion!$B$6)*Configuracion!$B$2, -1))</f>
        <v/>
      </c>
    </row>
    <row r="37">
      <c r="A37" t="inlineStr">
        <is>
          <t>201</t>
        </is>
      </c>
      <c r="B37" t="inlineStr">
        <is>
          <t>Google Pixel 6</t>
        </is>
      </c>
      <c r="C37" t="inlineStr">
        <is>
          <t>Google</t>
        </is>
      </c>
      <c r="D37" t="inlineStr">
        <is>
          <t>1099</t>
        </is>
      </c>
      <c r="E37" t="inlineStr">
        <is>
          <t>used</t>
        </is>
      </c>
      <c r="F37" t="inlineStr">
        <is>
          <t>Bueno</t>
        </is>
      </c>
      <c r="G37" t="inlineStr">
        <is>
          <t>FALSE</t>
        </is>
      </c>
      <c r="H37" t="inlineStr"/>
      <c r="I37" t="n">
        <v>21.9</v>
      </c>
      <c r="J37" t="inlineStr"/>
      <c r="K37" t="inlineStr"/>
      <c r="L37" t="inlineStr"/>
      <c r="M37" t="inlineStr"/>
      <c r="N37">
        <f>IF(H37="", "", ROUND((H37+Configuracion!$B$3+Configuracion!$B$4)*(1+Configuracion!$B$5+Configuracion!$B$6)*Configuracion!$B$2, -1))</f>
        <v/>
      </c>
      <c r="O37">
        <f>IF(I37="", "", ROUND((I37+Configuracion!$B$3+Configuracion!$B$4)*(1+Configuracion!$B$5+Configuracion!$B$6)*Configuracion!$B$2, -1))</f>
        <v/>
      </c>
      <c r="P37">
        <f>IF(J37="", "", ROUND((J37+Configuracion!$B$3+Configuracion!$B$4)*(1+Configuracion!$B$5+Configuracion!$B$6)*Configuracion!$B$2, -1))</f>
        <v/>
      </c>
      <c r="Q37">
        <f>IF(K37="", "", ROUND((K37+Configuracion!$B$3+Configuracion!$B$4)*(1+Configuracion!$B$5+Configuracion!$B$6)*Configuracion!$B$2, -1))</f>
        <v/>
      </c>
      <c r="R37">
        <f>IF(L37="", "", ROUND((L37+Configuracion!$B$3+Configuracion!$B$4)*(1+Configuracion!$B$5+Configuracion!$B$6)*Configuracion!$B$2, -1))</f>
        <v/>
      </c>
      <c r="S37">
        <f>IF(M37="", "", ROUND((M37+Configuracion!$B$3+Configuracion!$B$4)*(1+Configuracion!$B$5+Configuracion!$B$6)*Configuracion!$B$2, -1))</f>
        <v/>
      </c>
    </row>
    <row r="38">
      <c r="A38" t="inlineStr">
        <is>
          <t>207</t>
        </is>
      </c>
      <c r="B38" t="inlineStr">
        <is>
          <t>Google Pixel 6a</t>
        </is>
      </c>
      <c r="C38" t="inlineStr">
        <is>
          <t>Google</t>
        </is>
      </c>
      <c r="D38" t="inlineStr">
        <is>
          <t>899</t>
        </is>
      </c>
      <c r="E38" t="inlineStr">
        <is>
          <t>used</t>
        </is>
      </c>
      <c r="F38" t="inlineStr">
        <is>
          <t>Bueno</t>
        </is>
      </c>
      <c r="G38" t="inlineStr">
        <is>
          <t>TRUE</t>
        </is>
      </c>
      <c r="H38" t="inlineStr"/>
      <c r="I38" t="n">
        <v>8.57</v>
      </c>
      <c r="J38" t="inlineStr"/>
      <c r="K38" t="inlineStr"/>
      <c r="L38" t="inlineStr"/>
      <c r="M38" t="inlineStr"/>
      <c r="N38">
        <f>IF(H38="", "", ROUND((H38+Configuracion!$B$3+Configuracion!$B$4)*(1+Configuracion!$B$5+Configuracion!$B$6)*Configuracion!$B$2, -1))</f>
        <v/>
      </c>
      <c r="O38">
        <f>IF(I38="", "", ROUND((I38+Configuracion!$B$3+Configuracion!$B$4)*(1+Configuracion!$B$5+Configuracion!$B$6)*Configuracion!$B$2, -1))</f>
        <v/>
      </c>
      <c r="P38">
        <f>IF(J38="", "", ROUND((J38+Configuracion!$B$3+Configuracion!$B$4)*(1+Configuracion!$B$5+Configuracion!$B$6)*Configuracion!$B$2, -1))</f>
        <v/>
      </c>
      <c r="Q38">
        <f>IF(K38="", "", ROUND((K38+Configuracion!$B$3+Configuracion!$B$4)*(1+Configuracion!$B$5+Configuracion!$B$6)*Configuracion!$B$2, -1))</f>
        <v/>
      </c>
      <c r="R38">
        <f>IF(L38="", "", ROUND((L38+Configuracion!$B$3+Configuracion!$B$4)*(1+Configuracion!$B$5+Configuracion!$B$6)*Configuracion!$B$2, -1))</f>
        <v/>
      </c>
      <c r="S38">
        <f>IF(M38="", "", ROUND((M38+Configuracion!$B$3+Configuracion!$B$4)*(1+Configuracion!$B$5+Configuracion!$B$6)*Configuracion!$B$2, -1))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2026-03-06T22:07:16Z</dcterms:created>
  <dcterms:modified xmlns:dcterms="http://purl.org/dc/terms/" xmlns:xsi="http://www.w3.org/2001/XMLSchema-instance" xsi:type="dcterms:W3CDTF">2026-03-06T22:07:16Z</dcterms:modified>
</cp:coreProperties>
</file>